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22" codeName="{AE6600E7-7A62-396C-DE95-9942FA9DD81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Mesks\Desktop\"/>
    </mc:Choice>
  </mc:AlternateContent>
  <xr:revisionPtr revIDLastSave="0" documentId="13_ncr:1_{85AB4471-D919-4C2A-828A-022457BEF4D6}" xr6:coauthVersionLast="47" xr6:coauthVersionMax="47" xr10:uidLastSave="{00000000-0000-0000-0000-000000000000}"/>
  <bookViews>
    <workbookView xWindow="-120" yWindow="-120" windowWidth="29040" windowHeight="15720" tabRatio="799" activeTab="6" xr2:uid="{00000000-000D-0000-FFFF-FFFF00000000}"/>
  </bookViews>
  <sheets>
    <sheet name="51%_TH 0.3 0.3 0.6 0.6" sheetId="22" r:id="rId1"/>
    <sheet name="58%_TH 0.3 0.3 0.9 0.9" sheetId="18" r:id="rId2"/>
    <sheet name="64%_TH 0.8 0.8 0.9 0.9" sheetId="23" r:id="rId3"/>
    <sheet name="66%_TH 0.75 0.75 0.95 0.95" sheetId="24" r:id="rId4"/>
    <sheet name="70%_TH 0.8 0.8 0.99 0.99" sheetId="15" r:id="rId5"/>
    <sheet name="comparison_occGuid" sheetId="17" r:id="rId6"/>
    <sheet name="3366_onlyP" sheetId="25" r:id="rId7"/>
    <sheet name="3366_onlyI" sheetId="26" r:id="rId8"/>
    <sheet name="names" sheetId="4" state="hidden" r:id="rId9"/>
  </sheets>
  <functionGroups builtInGroupCount="19"/>
  <definedNames>
    <definedName name="all_cols" localSheetId="5">#REF!</definedName>
    <definedName name="all_cols">#REF!</definedName>
    <definedName name="graph_a_A_title" localSheetId="5">INDIRECT(VLOOKUP("name.A."&amp;#REF!,names!$A:$B,2,0))</definedName>
    <definedName name="graph_a_A_title">INDIRECT(VLOOKUP("name.A."&amp;#REF!,names!$A:$B,2,0))</definedName>
    <definedName name="graph_a_B_title" localSheetId="5">INDIRECT(VLOOKUP("name.B."&amp;#REF!,names!$A:$B,2,0))</definedName>
    <definedName name="graph_a_B_title">INDIRECT(VLOOKUP("name.B."&amp;#REF!,names!$A:$B,2,0))</definedName>
    <definedName name="graph_a_title" localSheetId="5">CONCATENATE(comparison_occGuid!graph_a_y_title, " (Graph a)")</definedName>
    <definedName name="graph_a_title">CONCATENATE([0]!graph_a_y_title, " (Graph a)")</definedName>
    <definedName name="graph_a_x_range_A" localSheetId="5">IF(ISREF(comparison_occGuid!graph_a_x_range_A_),comparison_occGuid!graph_a_x_range_A_,{0})</definedName>
    <definedName name="graph_a_x_range_A">IF(ISREF([0]!graph_a_x_range_A_),[0]!graph_a_x_range_A_,{0})</definedName>
    <definedName name="graph_a_x_range_A_" localSheetId="5">INDEX(INDIRECT(VLOOKUP("range." &amp;#REF! &amp;"." &amp;#REF!, names!$A:$B,2,0)), 0, VLOOKUP("col." &amp;#REF! &amp;".A." &amp;#REF!, names!$A:$B,2,0))</definedName>
    <definedName name="graph_a_x_range_A_">INDEX(INDIRECT(VLOOKUP("range." &amp;#REF! &amp;"." &amp;#REF!, names!$A:$B,2,0)), 0, VLOOKUP("col." &amp;#REF! &amp;".A." &amp;#REF!, names!$A:$B,2,0))</definedName>
    <definedName name="graph_a_x_range_B" localSheetId="5">IF(ISREF(comparison_occGuid!graph_a_x_range_B_),comparison_occGuid!graph_a_x_range_B_,{0})</definedName>
    <definedName name="graph_a_x_range_B">IF(ISREF([0]!graph_a_x_range_B_),[0]!graph_a_x_range_B_,{0})</definedName>
    <definedName name="graph_a_x_range_B_" localSheetId="5">INDEX(INDIRECT(VLOOKUP("range." &amp;#REF! &amp;"." &amp;#REF!, names!$A:$B,2,0)), 0, VLOOKUP("col." &amp;#REF! &amp;".B." &amp;#REF!, names!$A:$B,2,0))</definedName>
    <definedName name="graph_a_x_range_B_">INDEX(INDIRECT(VLOOKUP("range." &amp;#REF! &amp;"." &amp;#REF!, names!$A:$B,2,0)), 0, VLOOKUP("col." &amp;#REF! &amp;".B." &amp;#REF!, names!$A:$B,2,0))</definedName>
    <definedName name="graph_a_x_title" localSheetId="5">OFFSET(comparison_occGuid!all_cols, MATCH(#REF!, comparison_occGuid!all_cols, 0)-1,1,1,1)</definedName>
    <definedName name="graph_a_x_title">OFFSET([0]!all_cols, MATCH(#REF!, [0]!all_cols, 0)-1,1,1,1)</definedName>
    <definedName name="graph_a_y_range_A" localSheetId="5">IF(ISREF(comparison_occGuid!graph_a_y_range_A_),comparison_occGuid!graph_a_y_range_A_,{0})</definedName>
    <definedName name="graph_a_y_range_A">IF(ISREF([0]!graph_a_y_range_A_),[0]!graph_a_y_range_A_,{0})</definedName>
    <definedName name="graph_a_y_range_A_" localSheetId="5">INDEX(INDIRECT(VLOOKUP("range." &amp;#REF! &amp;"." &amp;#REF!, names!$A:$B,2,0)), 0, VLOOKUP("col." &amp;#REF! &amp;".A." &amp;#REF!, names!$A:$B,2,0))</definedName>
    <definedName name="graph_a_y_range_A_">INDEX(INDIRECT(VLOOKUP("range." &amp;#REF! &amp;"." &amp;#REF!, names!$A:$B,2,0)), 0, VLOOKUP("col." &amp;#REF! &amp;".A." &amp;#REF!, names!$A:$B,2,0))</definedName>
    <definedName name="graph_a_y_range_B" localSheetId="5">IF(ISREF(comparison_occGuid!graph_a_y_range_B_),comparison_occGuid!graph_a_y_range_B_,{0})</definedName>
    <definedName name="graph_a_y_range_B">IF(ISREF([0]!graph_a_y_range_B_),[0]!graph_a_y_range_B_,{0})</definedName>
    <definedName name="graph_a_y_range_B_" localSheetId="5">INDEX(INDIRECT(VLOOKUP("range." &amp;#REF! &amp;"." &amp;#REF!, names!$A:$B,2,0)), 0, VLOOKUP("col." &amp;#REF! &amp;".B." &amp;#REF!, names!$A:$B,2,0))</definedName>
    <definedName name="graph_a_y_range_B_">INDEX(INDIRECT(VLOOKUP("range." &amp;#REF! &amp;"." &amp;#REF!, names!$A:$B,2,0)), 0, VLOOKUP("col." &amp;#REF! &amp;".B." &amp;#REF!, names!$A:$B,2,0))</definedName>
    <definedName name="graph_a_y_title" localSheetId="5">OFFSET(comparison_occGuid!all_cols, MATCH(#REF!, comparison_occGuid!all_cols, 0)-1,1,1,1)</definedName>
    <definedName name="graph_a_y_title">OFFSET([0]!all_cols, MATCH(#REF!, [0]!all_cols, 0)-1,1,1,1)</definedName>
    <definedName name="graph_b_A_title" localSheetId="5">INDIRECT(VLOOKUP("name.A."&amp;#REF!,names!$A:$B,2,0))</definedName>
    <definedName name="graph_b_A_title">INDIRECT(VLOOKUP("name.A."&amp;#REF!,names!$A:$B,2,0))</definedName>
    <definedName name="graph_b_B_title" localSheetId="5">INDIRECT(VLOOKUP("name.B."&amp;#REF!,names!$A:$B,2,0))</definedName>
    <definedName name="graph_b_B_title">INDIRECT(VLOOKUP("name.B."&amp;#REF!,names!$A:$B,2,0))</definedName>
    <definedName name="graph_b_title" localSheetId="5">CONCATENATE(comparison_occGuid!graph_b_y_title, " (Graph b)")</definedName>
    <definedName name="graph_b_title">CONCATENATE([0]!graph_b_y_title, " (Graph b)")</definedName>
    <definedName name="graph_b_x_range_A" localSheetId="5">IF(ISREF(comparison_occGuid!graph_b_x_range_A_),comparison_occGuid!graph_b_x_range_A_,{0})</definedName>
    <definedName name="graph_b_x_range_A">IF(ISREF([0]!graph_b_x_range_A_),[0]!graph_b_x_range_A_,{0})</definedName>
    <definedName name="graph_b_x_range_A_" localSheetId="5">INDEX(INDIRECT(VLOOKUP("range." &amp;#REF! &amp;"." &amp;#REF!, names!$A:$B,2,0)), 0, VLOOKUP("col." &amp;#REF! &amp;".A." &amp;#REF!, names!$A:$B,2,0))</definedName>
    <definedName name="graph_b_x_range_A_">INDEX(INDIRECT(VLOOKUP("range." &amp;#REF! &amp;"." &amp;#REF!, names!$A:$B,2,0)), 0, VLOOKUP("col." &amp;#REF! &amp;".A." &amp;#REF!, names!$A:$B,2,0))</definedName>
    <definedName name="graph_b_x_range_B" localSheetId="5">IF(ISREF(comparison_occGuid!graph_b_x_range_B_),comparison_occGuid!graph_b_x_range_B_,{0})</definedName>
    <definedName name="graph_b_x_range_B">IF(ISREF([0]!graph_b_x_range_B_),[0]!graph_b_x_range_B_,{0})</definedName>
    <definedName name="graph_b_x_range_B_" localSheetId="5">INDEX(INDIRECT(VLOOKUP("range." &amp;#REF! &amp;"." &amp;#REF!, names!$A:$B,2,0)), 0, VLOOKUP("col." &amp;#REF! &amp;".B." &amp;#REF!, names!$A:$B,2,0))</definedName>
    <definedName name="graph_b_x_range_B_">INDEX(INDIRECT(VLOOKUP("range." &amp;#REF! &amp;"." &amp;#REF!, names!$A:$B,2,0)), 0, VLOOKUP("col." &amp;#REF! &amp;".B." &amp;#REF!, names!$A:$B,2,0))</definedName>
    <definedName name="graph_b_x_title" localSheetId="5">OFFSET(comparison_occGuid!all_cols, MATCH(#REF!, comparison_occGuid!all_cols, 0)-1,1,1,1)</definedName>
    <definedName name="graph_b_x_title">OFFSET([0]!all_cols, MATCH(#REF!, [0]!all_cols, 0)-1,1,1,1)</definedName>
    <definedName name="graph_b_y_range_A" localSheetId="5">IF(ISREF(comparison_occGuid!graph_b_y_range_A_),comparison_occGuid!graph_b_y_range_A_,{0})</definedName>
    <definedName name="graph_b_y_range_A">IF(ISREF([0]!graph_b_y_range_A_),[0]!graph_b_y_range_A_,{0})</definedName>
    <definedName name="graph_b_y_range_A_" localSheetId="5">INDEX(INDIRECT(VLOOKUP("range." &amp;#REF! &amp;"." &amp;#REF!, names!$A:$B,2,0)), 0, VLOOKUP("col." &amp;#REF! &amp;".A." &amp;#REF!, names!$A:$B,2,0))</definedName>
    <definedName name="graph_b_y_range_A_">INDEX(INDIRECT(VLOOKUP("range." &amp;#REF! &amp;"." &amp;#REF!, names!$A:$B,2,0)), 0, VLOOKUP("col." &amp;#REF! &amp;".A." &amp;#REF!, names!$A:$B,2,0))</definedName>
    <definedName name="graph_b_y_range_B" localSheetId="5">IF(ISREF(comparison_occGuid!graph_b_y_range_B_),comparison_occGuid!graph_b_y_range_B_,{0})</definedName>
    <definedName name="graph_b_y_range_B">IF(ISREF([0]!graph_b_y_range_B_),[0]!graph_b_y_range_B_,{0})</definedName>
    <definedName name="graph_b_y_range_B_" localSheetId="5">INDEX(INDIRECT(VLOOKUP("range." &amp;#REF! &amp;"." &amp;#REF!, names!$A:$B,2,0)), 0, VLOOKUP("col." &amp;#REF! &amp;".B." &amp;#REF!, names!$A:$B,2,0))</definedName>
    <definedName name="graph_b_y_range_B_">INDEX(INDIRECT(VLOOKUP("range." &amp;#REF! &amp;"." &amp;#REF!, names!$A:$B,2,0)), 0, VLOOKUP("col." &amp;#REF! &amp;".B." &amp;#REF!, names!$A:$B,2,0))</definedName>
    <definedName name="graph_b_y_title" localSheetId="5">OFFSET(comparison_occGuid!all_cols, MATCH(#REF!, comparison_occGuid!all_cols, 0)-1,1,1,1)</definedName>
    <definedName name="graph_b_y_title">OFFSET([0]!all_cols, MATCH(#REF!, [0]!all_cols, 0)-1,1,1,1)</definedName>
    <definedName name="graph_c_A_title" localSheetId="5">INDIRECT(VLOOKUP("name.A."&amp;#REF!,names!$A:$B,2,0))</definedName>
    <definedName name="graph_c_A_title">INDIRECT(VLOOKUP("name.A."&amp;#REF!,names!$A:$B,2,0))</definedName>
    <definedName name="graph_c_B_title" localSheetId="5">INDIRECT(VLOOKUP("name.B."&amp;#REF!,names!$A:$B,2,0))</definedName>
    <definedName name="graph_c_B_title">INDIRECT(VLOOKUP("name.B."&amp;#REF!,names!$A:$B,2,0))</definedName>
    <definedName name="graph_c_title" localSheetId="5">CONCATENATE(comparison_occGuid!graph_c_y_title, " (Graph c)")</definedName>
    <definedName name="graph_c_title">CONCATENATE([0]!graph_c_y_title, " (Graph c)")</definedName>
    <definedName name="graph_c_x_range_A" localSheetId="5">IF(ISREF(comparison_occGuid!graph_c_x_range_A_),comparison_occGuid!graph_c_x_range_A_,{0})</definedName>
    <definedName name="graph_c_x_range_A">IF(ISREF([0]!graph_c_x_range_A_),[0]!graph_c_x_range_A_,{0})</definedName>
    <definedName name="graph_c_x_range_A_" localSheetId="5">INDEX(INDIRECT(VLOOKUP("range." &amp;#REF! &amp;"." &amp;#REF!, names!$A:$B,2,0)), 0, VLOOKUP("col." &amp;#REF! &amp;".A." &amp;#REF!, names!$A:$B,2,0))</definedName>
    <definedName name="graph_c_x_range_A_">INDEX(INDIRECT(VLOOKUP("range." &amp;#REF! &amp;"." &amp;#REF!, names!$A:$B,2,0)), 0, VLOOKUP("col." &amp;#REF! &amp;".A." &amp;#REF!, names!$A:$B,2,0))</definedName>
    <definedName name="graph_c_x_range_B" localSheetId="5">IF(ISREF(comparison_occGuid!graph_c_x_range_B_),comparison_occGuid!graph_c_x_range_B_,{0})</definedName>
    <definedName name="graph_c_x_range_B">IF(ISREF([0]!graph_c_x_range_B_),[0]!graph_c_x_range_B_,{0})</definedName>
    <definedName name="graph_c_x_range_B_" localSheetId="5">INDEX(INDIRECT(VLOOKUP("range." &amp;#REF! &amp;"." &amp;#REF!, names!$A:$B,2,0)), 0, VLOOKUP("col." &amp;#REF! &amp;".B." &amp;#REF!, names!$A:$B,2,0))</definedName>
    <definedName name="graph_c_x_range_B_">INDEX(INDIRECT(VLOOKUP("range." &amp;#REF! &amp;"." &amp;#REF!, names!$A:$B,2,0)), 0, VLOOKUP("col." &amp;#REF! &amp;".B." &amp;#REF!, names!$A:$B,2,0))</definedName>
    <definedName name="graph_c_x_title" localSheetId="5">OFFSET(comparison_occGuid!all_cols, MATCH(#REF!, comparison_occGuid!all_cols, 0)-1,1,1,1)</definedName>
    <definedName name="graph_c_x_title">OFFSET([0]!all_cols, MATCH(#REF!, [0]!all_cols, 0)-1,1,1,1)</definedName>
    <definedName name="graph_c_y_range_A" localSheetId="5">IF(ISREF(comparison_occGuid!graph_c_y_range_A_),comparison_occGuid!graph_c_y_range_A_,{0})</definedName>
    <definedName name="graph_c_y_range_A">IF(ISREF([0]!graph_c_y_range_A_),[0]!graph_c_y_range_A_,{0})</definedName>
    <definedName name="graph_c_y_range_A_" localSheetId="5">INDEX(INDIRECT(VLOOKUP("range." &amp;#REF! &amp;"." &amp;#REF!, names!$A:$B,2,0)), 0, VLOOKUP("col." &amp;#REF! &amp;".A." &amp;#REF!, names!$A:$B,2,0))</definedName>
    <definedName name="graph_c_y_range_A_">INDEX(INDIRECT(VLOOKUP("range." &amp;#REF! &amp;"." &amp;#REF!, names!$A:$B,2,0)), 0, VLOOKUP("col." &amp;#REF! &amp;".A." &amp;#REF!, names!$A:$B,2,0))</definedName>
    <definedName name="graph_c_y_range_B" localSheetId="5">IF(ISREF(comparison_occGuid!graph_c_y_range_B_),comparison_occGuid!graph_c_y_range_B_,{0})</definedName>
    <definedName name="graph_c_y_range_B">IF(ISREF([0]!graph_c_y_range_B_),[0]!graph_c_y_range_B_,{0})</definedName>
    <definedName name="graph_c_y_range_B_" localSheetId="5">INDEX(INDIRECT(VLOOKUP("range." &amp;#REF! &amp;"." &amp;#REF!, names!$A:$B,2,0)), 0, VLOOKUP("col." &amp;#REF! &amp;".B." &amp;#REF!, names!$A:$B,2,0))</definedName>
    <definedName name="graph_c_y_range_B_">INDEX(INDIRECT(VLOOKUP("range." &amp;#REF! &amp;"." &amp;#REF!, names!$A:$B,2,0)), 0, VLOOKUP("col." &amp;#REF! &amp;".B." &amp;#REF!, names!$A:$B,2,0))</definedName>
    <definedName name="graph_c_y_title" localSheetId="5">OFFSET(comparison_occGuid!all_cols, MATCH(#REF!, comparison_occGuid!all_cols, 0)-1,1,1,1)</definedName>
    <definedName name="graph_c_y_title">OFFSET([0]!all_cols, MATCH(#REF!, [0]!all_cols, 0)-1,1,1,1)</definedName>
    <definedName name="graph_d_A_title" localSheetId="5">INDIRECT(VLOOKUP("name.A."&amp;#REF!,names!$A:$B,2,0))</definedName>
    <definedName name="graph_d_A_title">INDIRECT(VLOOKUP("name.A."&amp;#REF!,names!$A:$B,2,0))</definedName>
    <definedName name="graph_d_B_title" localSheetId="5">INDIRECT(VLOOKUP("name.B."&amp;#REF!,names!$A:$B,2,0))</definedName>
    <definedName name="graph_d_B_title">INDIRECT(VLOOKUP("name.B."&amp;#REF!,names!$A:$B,2,0))</definedName>
    <definedName name="graph_d_title" localSheetId="5">CONCATENATE(comparison_occGuid!graph_d_y_title, " (Graph d)")</definedName>
    <definedName name="graph_d_title">CONCATENATE([0]!graph_d_y_title, " (Graph d)")</definedName>
    <definedName name="graph_d_x_range_A" localSheetId="5">IF(ISREF(comparison_occGuid!graph_d_x_range_A_),comparison_occGuid!graph_d_x_range_A_,{0})</definedName>
    <definedName name="graph_d_x_range_A">IF(ISREF([0]!graph_d_x_range_A_),[0]!graph_d_x_range_A_,{0})</definedName>
    <definedName name="graph_d_x_range_A_" localSheetId="5">INDEX(INDIRECT(VLOOKUP("range." &amp;#REF! &amp;"." &amp;#REF!, names!$A:$B,2,0)), 0, VLOOKUP("col." &amp;#REF! &amp;".A." &amp;#REF!, names!$A:$B,2,0))</definedName>
    <definedName name="graph_d_x_range_A_">INDEX(INDIRECT(VLOOKUP("range." &amp;#REF! &amp;"." &amp;#REF!, names!$A:$B,2,0)), 0, VLOOKUP("col." &amp;#REF! &amp;".A." &amp;#REF!, names!$A:$B,2,0))</definedName>
    <definedName name="graph_d_x_range_B" localSheetId="5">IF(ISREF(comparison_occGuid!graph_d_x_range_B_),comparison_occGuid!graph_d_x_range_B_,{0})</definedName>
    <definedName name="graph_d_x_range_B">IF(ISREF([0]!graph_d_x_range_B_),[0]!graph_d_x_range_B_,{0})</definedName>
    <definedName name="graph_d_x_range_B_" localSheetId="5">INDEX(INDIRECT(VLOOKUP("range." &amp;#REF! &amp;"." &amp;#REF!, names!$A:$B,2,0)), 0, VLOOKUP("col." &amp;#REF! &amp;".B." &amp;#REF!, names!$A:$B,2,0))</definedName>
    <definedName name="graph_d_x_range_B_">INDEX(INDIRECT(VLOOKUP("range." &amp;#REF! &amp;"." &amp;#REF!, names!$A:$B,2,0)), 0, VLOOKUP("col." &amp;#REF! &amp;".B." &amp;#REF!, names!$A:$B,2,0))</definedName>
    <definedName name="graph_d_x_title" localSheetId="5">OFFSET(comparison_occGuid!all_cols, MATCH(#REF!, comparison_occGuid!all_cols, 0)-1,1,1,1)</definedName>
    <definedName name="graph_d_x_title">OFFSET([0]!all_cols, MATCH(#REF!, [0]!all_cols, 0)-1,1,1,1)</definedName>
    <definedName name="graph_d_y_range_A" localSheetId="5">IF(ISREF(comparison_occGuid!graph_d_y_range_A_),comparison_occGuid!graph_d_y_range_A_,{0})</definedName>
    <definedName name="graph_d_y_range_A">IF(ISREF([0]!graph_d_y_range_A_),[0]!graph_d_y_range_A_,{0})</definedName>
    <definedName name="graph_d_y_range_A_" localSheetId="5">INDEX(INDIRECT(VLOOKUP("range." &amp;#REF! &amp;"." &amp;#REF!, names!$A:$B,2,0)), 0, VLOOKUP("col." &amp;#REF! &amp;".A." &amp;#REF!, names!$A:$B,2,0))</definedName>
    <definedName name="graph_d_y_range_A_">INDEX(INDIRECT(VLOOKUP("range." &amp;#REF! &amp;"." &amp;#REF!, names!$A:$B,2,0)), 0, VLOOKUP("col." &amp;#REF! &amp;".A." &amp;#REF!, names!$A:$B,2,0))</definedName>
    <definedName name="graph_d_y_range_B" localSheetId="5">IF(ISREF(comparison_occGuid!graph_d_y_range_B_),comparison_occGuid!graph_d_y_range_B_,{0})</definedName>
    <definedName name="graph_d_y_range_B">IF(ISREF([0]!graph_d_y_range_B_),[0]!graph_d_y_range_B_,{0})</definedName>
    <definedName name="graph_d_y_range_B_" localSheetId="5">INDEX(INDIRECT(VLOOKUP("range." &amp;#REF! &amp;"." &amp;#REF!, names!$A:$B,2,0)), 0, VLOOKUP("col." &amp;#REF! &amp;".B." &amp;#REF!, names!$A:$B,2,0))</definedName>
    <definedName name="graph_d_y_range_B_">INDEX(INDIRECT(VLOOKUP("range." &amp;#REF! &amp;"." &amp;#REF!, names!$A:$B,2,0)), 0, VLOOKUP("col." &amp;#REF! &amp;".B." &amp;#REF!, names!$A:$B,2,0))</definedName>
    <definedName name="graph_d_y_title" localSheetId="5">OFFSET(comparison_occGuid!all_cols, MATCH(#REF!, comparison_occGuid!all_cols, 0)-1,1,1,1)</definedName>
    <definedName name="graph_d_y_title">OFFSET([0]!all_cols, MATCH(#REF!, [0]!all_cols, 0)-1,1,1,1)</definedName>
    <definedName name="graph_e_A_title" localSheetId="5">INDIRECT(VLOOKUP("name.A."&amp;#REF!,names!$A:$B,2,0))</definedName>
    <definedName name="graph_e_A_title">INDIRECT(VLOOKUP("name.A."&amp;#REF!,names!$A:$B,2,0))</definedName>
    <definedName name="graph_e_B_title" localSheetId="5">INDIRECT(VLOOKUP("name.B."&amp;#REF!,names!$A:$B,2,0))</definedName>
    <definedName name="graph_e_B_title">INDIRECT(VLOOKUP("name.B."&amp;#REF!,names!$A:$B,2,0))</definedName>
    <definedName name="graph_e_title" localSheetId="5">CONCATENATE(comparison_occGuid!graph_e_y_title, " (Graph e)")</definedName>
    <definedName name="graph_e_title">CONCATENATE([0]!graph_e_y_title, " (Graph e)")</definedName>
    <definedName name="graph_e_x_range_A" localSheetId="5">IF(ISREF(comparison_occGuid!graph_e_x_range_A_),comparison_occGuid!graph_e_x_range_A_,{0})</definedName>
    <definedName name="graph_e_x_range_A">IF(ISREF([0]!graph_e_x_range_A_),[0]!graph_e_x_range_A_,{0})</definedName>
    <definedName name="graph_e_x_range_A_" localSheetId="5">INDEX(INDIRECT(VLOOKUP("range." &amp;#REF! &amp;"." &amp;#REF!, names!$A:$B,2,0)), 0, VLOOKUP("col." &amp;#REF! &amp;".A." &amp;#REF!, names!$A:$B,2,0))</definedName>
    <definedName name="graph_e_x_range_A_">INDEX(INDIRECT(VLOOKUP("range." &amp;#REF! &amp;"." &amp;#REF!, names!$A:$B,2,0)), 0, VLOOKUP("col." &amp;#REF! &amp;".A." &amp;#REF!, names!$A:$B,2,0))</definedName>
    <definedName name="graph_e_x_range_B" localSheetId="5">IF(ISREF(comparison_occGuid!graph_e_x_range_B_),comparison_occGuid!graph_e_x_range_B_,{0})</definedName>
    <definedName name="graph_e_x_range_B">IF(ISREF([0]!graph_e_x_range_B_),[0]!graph_e_x_range_B_,{0})</definedName>
    <definedName name="graph_e_x_range_B_" localSheetId="5">INDEX(INDIRECT(VLOOKUP("range." &amp;#REF! &amp;"." &amp;#REF!, names!$A:$B,2,0)), 0, VLOOKUP("col." &amp;#REF! &amp;".B." &amp;#REF!, names!$A:$B,2,0))</definedName>
    <definedName name="graph_e_x_range_B_">INDEX(INDIRECT(VLOOKUP("range." &amp;#REF! &amp;"." &amp;#REF!, names!$A:$B,2,0)), 0, VLOOKUP("col." &amp;#REF! &amp;".B." &amp;#REF!, names!$A:$B,2,0))</definedName>
    <definedName name="graph_e_x_title" localSheetId="5">OFFSET(comparison_occGuid!all_cols, MATCH(#REF!, comparison_occGuid!all_cols, 0)-1,1,1,1)</definedName>
    <definedName name="graph_e_x_title">OFFSET([0]!all_cols, MATCH(#REF!, [0]!all_cols, 0)-1,1,1,1)</definedName>
    <definedName name="graph_e_y_range_A" localSheetId="5">IF(ISREF(comparison_occGuid!graph_e_y_range_A_),comparison_occGuid!graph_e_y_range_A_,{0})</definedName>
    <definedName name="graph_e_y_range_A">IF(ISREF([0]!graph_e_y_range_A_),[0]!graph_e_y_range_A_,{0})</definedName>
    <definedName name="graph_e_y_range_A_" localSheetId="5">INDEX(INDIRECT(VLOOKUP("range." &amp;#REF! &amp;"." &amp;#REF!, names!$A:$B,2,0)), 0, VLOOKUP("col." &amp;#REF! &amp;".A." &amp;#REF!, names!$A:$B,2,0))</definedName>
    <definedName name="graph_e_y_range_A_">INDEX(INDIRECT(VLOOKUP("range." &amp;#REF! &amp;"." &amp;#REF!, names!$A:$B,2,0)), 0, VLOOKUP("col." &amp;#REF! &amp;".A." &amp;#REF!, names!$A:$B,2,0))</definedName>
    <definedName name="graph_e_y_range_B" localSheetId="5">IF(ISREF(comparison_occGuid!graph_e_y_range_B_),comparison_occGuid!graph_e_y_range_B_,{0})</definedName>
    <definedName name="graph_e_y_range_B">IF(ISREF([0]!graph_e_y_range_B_),[0]!graph_e_y_range_B_,{0})</definedName>
    <definedName name="graph_e_y_range_B_" localSheetId="5">INDEX(INDIRECT(VLOOKUP("range." &amp;#REF! &amp;"." &amp;#REF!, names!$A:$B,2,0)), 0, VLOOKUP("col." &amp;#REF! &amp;".B." &amp;#REF!, names!$A:$B,2,0))</definedName>
    <definedName name="graph_e_y_range_B_">INDEX(INDIRECT(VLOOKUP("range." &amp;#REF! &amp;"." &amp;#REF!, names!$A:$B,2,0)), 0, VLOOKUP("col." &amp;#REF! &amp;".B." &amp;#REF!, names!$A:$B,2,0))</definedName>
    <definedName name="graph_e_y_title" localSheetId="5">OFFSET(comparison_occGuid!all_cols, MATCH(#REF!, comparison_occGuid!all_cols, 0)-1,1,1,1)</definedName>
    <definedName name="graph_e_y_title">OFFSET([0]!all_cols, MATCH(#REF!, [0]!all_cols, 0)-1,1,1,1)</definedName>
    <definedName name="graph_f_A_title" localSheetId="5">INDIRECT(VLOOKUP("name.A."&amp;#REF!,names!$A:$B,2,0))</definedName>
    <definedName name="graph_f_A_title">INDIRECT(VLOOKUP("name.A."&amp;#REF!,names!$A:$B,2,0))</definedName>
    <definedName name="graph_f_B_title" localSheetId="5">INDIRECT(VLOOKUP("name.B."&amp;#REF!,names!$A:$B,2,0))</definedName>
    <definedName name="graph_f_B_title">INDIRECT(VLOOKUP("name.B."&amp;#REF!,names!$A:$B,2,0))</definedName>
    <definedName name="graph_f_title" localSheetId="5">CONCATENATE(comparison_occGuid!graph_f_y_title, " (Graph f)")</definedName>
    <definedName name="graph_f_title">CONCATENATE([0]!graph_f_y_title, " (Graph f)")</definedName>
    <definedName name="graph_f_x_range_A" localSheetId="5">IF(ISREF(comparison_occGuid!graph_f_x_range_A_),comparison_occGuid!graph_f_x_range_A_,{0})</definedName>
    <definedName name="graph_f_x_range_A">IF(ISREF([0]!graph_f_x_range_A_),[0]!graph_f_x_range_A_,{0})</definedName>
    <definedName name="graph_f_x_range_A_" localSheetId="5">INDEX(INDIRECT(VLOOKUP("range." &amp;#REF! &amp;"." &amp;#REF!, names!$A:$B,2,0)), 0, VLOOKUP("col." &amp;#REF! &amp;".A." &amp;#REF!, names!$A:$B,2,0))</definedName>
    <definedName name="graph_f_x_range_A_">INDEX(INDIRECT(VLOOKUP("range." &amp;#REF! &amp;"." &amp;#REF!, names!$A:$B,2,0)), 0, VLOOKUP("col." &amp;#REF! &amp;".A." &amp;#REF!, names!$A:$B,2,0))</definedName>
    <definedName name="graph_f_x_range_B" localSheetId="5">IF(ISREF(comparison_occGuid!graph_f_x_range_B_),comparison_occGuid!graph_f_x_range_B_,{0})</definedName>
    <definedName name="graph_f_x_range_B">IF(ISREF([0]!graph_f_x_range_B_),[0]!graph_f_x_range_B_,{0})</definedName>
    <definedName name="graph_f_x_range_B_" localSheetId="5">INDEX(INDIRECT(VLOOKUP("range." &amp;#REF! &amp;"." &amp;#REF!, names!$A:$B,2,0)), 0, VLOOKUP("col." &amp;#REF! &amp;".B." &amp;#REF!, names!$A:$B,2,0))</definedName>
    <definedName name="graph_f_x_range_B_">INDEX(INDIRECT(VLOOKUP("range." &amp;#REF! &amp;"." &amp;#REF!, names!$A:$B,2,0)), 0, VLOOKUP("col." &amp;#REF! &amp;".B." &amp;#REF!, names!$A:$B,2,0))</definedName>
    <definedName name="graph_f_x_title" localSheetId="5">OFFSET(comparison_occGuid!all_cols, MATCH(#REF!, comparison_occGuid!all_cols, 0)-1,1,1,1)</definedName>
    <definedName name="graph_f_x_title">OFFSET([0]!all_cols, MATCH(#REF!, [0]!all_cols, 0)-1,1,1,1)</definedName>
    <definedName name="graph_f_y_range_A" localSheetId="5">IF(ISREF(comparison_occGuid!graph_f_y_range_A_),comparison_occGuid!graph_f_y_range_A_,{0})</definedName>
    <definedName name="graph_f_y_range_A">IF(ISREF([0]!graph_f_y_range_A_),[0]!graph_f_y_range_A_,{0})</definedName>
    <definedName name="graph_f_y_range_A_" localSheetId="5">INDEX(INDIRECT(VLOOKUP("range." &amp;#REF! &amp;"." &amp;#REF!, names!$A:$B,2,0)), 0, VLOOKUP("col." &amp;#REF! &amp;".A." &amp;#REF!, names!$A:$B,2,0))</definedName>
    <definedName name="graph_f_y_range_A_">INDEX(INDIRECT(VLOOKUP("range." &amp;#REF! &amp;"." &amp;#REF!, names!$A:$B,2,0)), 0, VLOOKUP("col." &amp;#REF! &amp;".A." &amp;#REF!, names!$A:$B,2,0))</definedName>
    <definedName name="graph_f_y_range_B" localSheetId="5">IF(ISREF(comparison_occGuid!graph_f_y_range_B_),comparison_occGuid!graph_f_y_range_B_,{0})</definedName>
    <definedName name="graph_f_y_range_B">IF(ISREF([0]!graph_f_y_range_B_),[0]!graph_f_y_range_B_,{0})</definedName>
    <definedName name="graph_f_y_range_B_" localSheetId="5">INDEX(INDIRECT(VLOOKUP("range." &amp;#REF! &amp;"." &amp;#REF!, names!$A:$B,2,0)), 0, VLOOKUP("col." &amp;#REF! &amp;".B." &amp;#REF!, names!$A:$B,2,0))</definedName>
    <definedName name="graph_f_y_range_B_">INDEX(INDIRECT(VLOOKUP("range." &amp;#REF! &amp;"." &amp;#REF!, names!$A:$B,2,0)), 0, VLOOKUP("col." &amp;#REF! &amp;".B." &amp;#REF!, names!$A:$B,2,0))</definedName>
    <definedName name="graph_f_y_title" localSheetId="5">OFFSET(comparison_occGuid!all_cols, MATCH(#REF!, comparison_occGuid!all_cols, 0)-1,1,1,1)</definedName>
    <definedName name="graph_f_y_title">OFFSET([0]!all_cols, MATCH(#REF!, [0]!all_cols, 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C46" i="26" l="1"/>
  <c r="BC47" i="26" s="1"/>
  <c r="BB46" i="26"/>
  <c r="BB47" i="26" s="1"/>
  <c r="BA46" i="26"/>
  <c r="AZ46" i="26"/>
  <c r="AE46" i="26"/>
  <c r="AD46" i="26"/>
  <c r="AC46" i="26"/>
  <c r="AB46" i="26"/>
  <c r="BC44" i="26"/>
  <c r="BC45" i="26" s="1"/>
  <c r="BB44" i="26"/>
  <c r="BB45" i="26" s="1"/>
  <c r="BA44" i="26"/>
  <c r="BA45" i="26" s="1"/>
  <c r="AZ44" i="26"/>
  <c r="AZ45" i="26" s="1"/>
  <c r="AE44" i="26"/>
  <c r="AD44" i="26"/>
  <c r="AC44" i="26"/>
  <c r="AB44" i="26"/>
  <c r="AH42" i="26"/>
  <c r="BX39" i="26"/>
  <c r="BW39" i="26"/>
  <c r="BV39" i="26"/>
  <c r="BY39" i="26" s="1"/>
  <c r="BF39" i="26"/>
  <c r="AL39" i="26"/>
  <c r="BG39" i="26" s="1"/>
  <c r="AK39" i="26"/>
  <c r="AJ39" i="26"/>
  <c r="AI39" i="26"/>
  <c r="AH39" i="26"/>
  <c r="AG39" i="26"/>
  <c r="N39" i="26"/>
  <c r="K39" i="26" s="1"/>
  <c r="M39" i="26"/>
  <c r="L39" i="26"/>
  <c r="J39" i="26"/>
  <c r="I39" i="26"/>
  <c r="BY38" i="26"/>
  <c r="BX38" i="26"/>
  <c r="BW38" i="26"/>
  <c r="BV38" i="26"/>
  <c r="BF38" i="26"/>
  <c r="AL38" i="26"/>
  <c r="BG38" i="26" s="1"/>
  <c r="AK38" i="26"/>
  <c r="AJ38" i="26"/>
  <c r="AH38" i="26"/>
  <c r="AG38" i="26"/>
  <c r="N38" i="26"/>
  <c r="M38" i="26"/>
  <c r="L38" i="26"/>
  <c r="K38" i="26"/>
  <c r="J38" i="26"/>
  <c r="I38" i="26"/>
  <c r="BX37" i="26"/>
  <c r="BW37" i="26"/>
  <c r="BV37" i="26"/>
  <c r="BY37" i="26" s="1"/>
  <c r="BG37" i="26"/>
  <c r="BF37" i="26"/>
  <c r="AL37" i="26"/>
  <c r="AI37" i="26" s="1"/>
  <c r="BE37" i="26" s="1"/>
  <c r="AK37" i="26"/>
  <c r="AJ37" i="26"/>
  <c r="AH37" i="26"/>
  <c r="AG37" i="26"/>
  <c r="N37" i="26"/>
  <c r="K37" i="26" s="1"/>
  <c r="M37" i="26"/>
  <c r="L37" i="26"/>
  <c r="J37" i="26"/>
  <c r="I37" i="26"/>
  <c r="BY36" i="26"/>
  <c r="BX36" i="26"/>
  <c r="BW36" i="26"/>
  <c r="BV36" i="26"/>
  <c r="BG36" i="26"/>
  <c r="BF36" i="26"/>
  <c r="BE36" i="26"/>
  <c r="AL36" i="26"/>
  <c r="AK36" i="26"/>
  <c r="AJ36" i="26"/>
  <c r="AI36" i="26"/>
  <c r="AH36" i="26"/>
  <c r="AG36" i="26"/>
  <c r="N36" i="26"/>
  <c r="M36" i="26"/>
  <c r="L36" i="26"/>
  <c r="K36" i="26"/>
  <c r="J36" i="26"/>
  <c r="I36" i="26"/>
  <c r="BX35" i="26"/>
  <c r="BW35" i="26"/>
  <c r="BV35" i="26"/>
  <c r="BY35" i="26" s="1"/>
  <c r="BT35" i="26"/>
  <c r="BS35" i="26"/>
  <c r="BR35" i="26"/>
  <c r="BR42" i="26" s="1"/>
  <c r="BQ35" i="26"/>
  <c r="BP35" i="26"/>
  <c r="BN35" i="26"/>
  <c r="BM35" i="26"/>
  <c r="BL35" i="26"/>
  <c r="BF35" i="26"/>
  <c r="AL35" i="26"/>
  <c r="AI35" i="26" s="1"/>
  <c r="BE35" i="26" s="1"/>
  <c r="AK35" i="26"/>
  <c r="AJ35" i="26"/>
  <c r="AH35" i="26"/>
  <c r="AG35" i="26"/>
  <c r="N35" i="26"/>
  <c r="M35" i="26"/>
  <c r="L35" i="26"/>
  <c r="K35" i="26"/>
  <c r="J35" i="26"/>
  <c r="I35" i="26"/>
  <c r="BX34" i="26"/>
  <c r="BW34" i="26"/>
  <c r="BV34" i="26"/>
  <c r="BY34" i="26" s="1"/>
  <c r="BG34" i="26"/>
  <c r="BF34" i="26"/>
  <c r="AL34" i="26"/>
  <c r="AI34" i="26" s="1"/>
  <c r="BE34" i="26" s="1"/>
  <c r="AK34" i="26"/>
  <c r="AJ34" i="26"/>
  <c r="AH34" i="26"/>
  <c r="AG34" i="26"/>
  <c r="N34" i="26"/>
  <c r="M34" i="26"/>
  <c r="L34" i="26"/>
  <c r="K34" i="26"/>
  <c r="J34" i="26"/>
  <c r="I34" i="26"/>
  <c r="BY33" i="26"/>
  <c r="BX33" i="26"/>
  <c r="BW33" i="26"/>
  <c r="BV33" i="26"/>
  <c r="BF33" i="26"/>
  <c r="AL33" i="26"/>
  <c r="AK33" i="26"/>
  <c r="AJ33" i="26"/>
  <c r="AI33" i="26"/>
  <c r="BE33" i="26" s="1"/>
  <c r="AH33" i="26"/>
  <c r="AG33" i="26"/>
  <c r="N33" i="26"/>
  <c r="BG33" i="26" s="1"/>
  <c r="M33" i="26"/>
  <c r="L33" i="26"/>
  <c r="K33" i="26"/>
  <c r="J33" i="26"/>
  <c r="I33" i="26"/>
  <c r="BY32" i="26"/>
  <c r="BX32" i="26"/>
  <c r="BW32" i="26"/>
  <c r="BV32" i="26"/>
  <c r="BF32" i="26"/>
  <c r="AL32" i="26"/>
  <c r="BG32" i="26" s="1"/>
  <c r="AK32" i="26"/>
  <c r="AJ32" i="26"/>
  <c r="AI32" i="26"/>
  <c r="AH32" i="26"/>
  <c r="AG32" i="26"/>
  <c r="N32" i="26"/>
  <c r="K32" i="26" s="1"/>
  <c r="M32" i="26"/>
  <c r="L32" i="26"/>
  <c r="J32" i="26"/>
  <c r="J42" i="26" s="1"/>
  <c r="I32" i="26"/>
  <c r="BX31" i="26"/>
  <c r="BW31" i="26"/>
  <c r="BV31" i="26"/>
  <c r="BY31" i="26" s="1"/>
  <c r="BF31" i="26"/>
  <c r="AL31" i="26"/>
  <c r="BG31" i="26" s="1"/>
  <c r="AK31" i="26"/>
  <c r="AJ31" i="26"/>
  <c r="AI31" i="26"/>
  <c r="BE31" i="26" s="1"/>
  <c r="AH31" i="26"/>
  <c r="AG31" i="26"/>
  <c r="N31" i="26"/>
  <c r="K31" i="26" s="1"/>
  <c r="M31" i="26"/>
  <c r="L31" i="26"/>
  <c r="J31" i="26"/>
  <c r="I31" i="26"/>
  <c r="BX30" i="26"/>
  <c r="BW30" i="26"/>
  <c r="BV30" i="26"/>
  <c r="BY30" i="26" s="1"/>
  <c r="BT30" i="26"/>
  <c r="BT42" i="26" s="1"/>
  <c r="BS30" i="26"/>
  <c r="BS42" i="26" s="1"/>
  <c r="BR30" i="26"/>
  <c r="BQ30" i="26"/>
  <c r="BQ42" i="26" s="1"/>
  <c r="BP30" i="26"/>
  <c r="BP42" i="26" s="1"/>
  <c r="BN30" i="26"/>
  <c r="BN42" i="26" s="1"/>
  <c r="BM30" i="26"/>
  <c r="BM42" i="26" s="1"/>
  <c r="BL30" i="26"/>
  <c r="BL42" i="26" s="1"/>
  <c r="BF30" i="26"/>
  <c r="AL30" i="26"/>
  <c r="BK30" i="26" s="1"/>
  <c r="AK30" i="26"/>
  <c r="AK42" i="26" s="1"/>
  <c r="AJ30" i="26"/>
  <c r="AJ42" i="26" s="1"/>
  <c r="AH30" i="26"/>
  <c r="AG30" i="26"/>
  <c r="N30" i="26"/>
  <c r="BJ30" i="26" s="1"/>
  <c r="M30" i="26"/>
  <c r="M42" i="26" s="1"/>
  <c r="L30" i="26"/>
  <c r="L42" i="26" s="1"/>
  <c r="K30" i="26"/>
  <c r="J30" i="26"/>
  <c r="I30" i="26"/>
  <c r="CF29" i="26"/>
  <c r="CE29" i="26"/>
  <c r="CD29" i="26"/>
  <c r="BX29" i="26"/>
  <c r="BW29" i="26"/>
  <c r="BV29" i="26"/>
  <c r="BF29" i="26"/>
  <c r="AL29" i="26"/>
  <c r="AI29" i="26" s="1"/>
  <c r="AK29" i="26"/>
  <c r="AJ29" i="26"/>
  <c r="AH29" i="26"/>
  <c r="AG29" i="26"/>
  <c r="N29" i="26"/>
  <c r="M29" i="26"/>
  <c r="L29" i="26"/>
  <c r="J29" i="26"/>
  <c r="I29" i="26"/>
  <c r="BX28" i="26"/>
  <c r="BW28" i="26"/>
  <c r="BV28" i="26"/>
  <c r="BF28" i="26"/>
  <c r="AL28" i="26"/>
  <c r="BG28" i="26" s="1"/>
  <c r="AK28" i="26"/>
  <c r="AJ28" i="26"/>
  <c r="AH28" i="26"/>
  <c r="AG28" i="26"/>
  <c r="N28" i="26"/>
  <c r="K28" i="26" s="1"/>
  <c r="M28" i="26"/>
  <c r="L28" i="26"/>
  <c r="J28" i="26"/>
  <c r="I28" i="26"/>
  <c r="BX27" i="26"/>
  <c r="BW27" i="26"/>
  <c r="BV27" i="26"/>
  <c r="BF27" i="26"/>
  <c r="AL27" i="26"/>
  <c r="BG27" i="26" s="1"/>
  <c r="AK27" i="26"/>
  <c r="AJ27" i="26"/>
  <c r="AH27" i="26"/>
  <c r="AG27" i="26"/>
  <c r="N27" i="26"/>
  <c r="M27" i="26"/>
  <c r="L27" i="26"/>
  <c r="K27" i="26"/>
  <c r="J27" i="26"/>
  <c r="I27" i="26"/>
  <c r="BX26" i="26"/>
  <c r="BW26" i="26"/>
  <c r="BV26" i="26"/>
  <c r="BF26" i="26"/>
  <c r="AL26" i="26"/>
  <c r="AI26" i="26" s="1"/>
  <c r="AK26" i="26"/>
  <c r="AJ26" i="26"/>
  <c r="AH26" i="26"/>
  <c r="AG26" i="26"/>
  <c r="N26" i="26"/>
  <c r="K26" i="26" s="1"/>
  <c r="M26" i="26"/>
  <c r="L26" i="26"/>
  <c r="J26" i="26"/>
  <c r="I26" i="26"/>
  <c r="BX25" i="26"/>
  <c r="BW25" i="26"/>
  <c r="BV25" i="26"/>
  <c r="BF25" i="26"/>
  <c r="AL25" i="26"/>
  <c r="BG25" i="26" s="1"/>
  <c r="AK25" i="26"/>
  <c r="AJ25" i="26"/>
  <c r="AH25" i="26"/>
  <c r="AG25" i="26"/>
  <c r="N25" i="26"/>
  <c r="M25" i="26"/>
  <c r="M41" i="26" s="1"/>
  <c r="L25" i="26"/>
  <c r="L41" i="26" s="1"/>
  <c r="J25" i="26"/>
  <c r="J41" i="26" s="1"/>
  <c r="I25" i="26"/>
  <c r="CF24" i="26"/>
  <c r="CE24" i="26"/>
  <c r="CD24" i="26"/>
  <c r="BX24" i="26"/>
  <c r="BW24" i="26"/>
  <c r="BV24" i="26"/>
  <c r="BF24" i="26"/>
  <c r="AL24" i="26"/>
  <c r="BG24" i="26" s="1"/>
  <c r="AK24" i="26"/>
  <c r="AJ24" i="26"/>
  <c r="AH24" i="26"/>
  <c r="AG24" i="26"/>
  <c r="N24" i="26"/>
  <c r="M24" i="26"/>
  <c r="L24" i="26"/>
  <c r="K24" i="26"/>
  <c r="J24" i="26"/>
  <c r="I24" i="26"/>
  <c r="BX23" i="26"/>
  <c r="BW23" i="26"/>
  <c r="BV23" i="26"/>
  <c r="BF23" i="26"/>
  <c r="AL23" i="26"/>
  <c r="BG23" i="26" s="1"/>
  <c r="AK23" i="26"/>
  <c r="AJ23" i="26"/>
  <c r="AH23" i="26"/>
  <c r="AG23" i="26"/>
  <c r="N23" i="26"/>
  <c r="K23" i="26" s="1"/>
  <c r="M23" i="26"/>
  <c r="L23" i="26"/>
  <c r="J23" i="26"/>
  <c r="I23" i="26"/>
  <c r="BX22" i="26"/>
  <c r="BW22" i="26"/>
  <c r="BV22" i="26"/>
  <c r="BY22" i="26" s="1"/>
  <c r="BF22" i="26"/>
  <c r="AL22" i="26"/>
  <c r="AI22" i="26" s="1"/>
  <c r="AK22" i="26"/>
  <c r="AJ22" i="26"/>
  <c r="AH22" i="26"/>
  <c r="AG22" i="26"/>
  <c r="N22" i="26"/>
  <c r="K22" i="26" s="1"/>
  <c r="M22" i="26"/>
  <c r="L22" i="26"/>
  <c r="J22" i="26"/>
  <c r="I22" i="26"/>
  <c r="BX21" i="26"/>
  <c r="BW21" i="26"/>
  <c r="BV21" i="26"/>
  <c r="BF21" i="26"/>
  <c r="AL21" i="26"/>
  <c r="AI21" i="26" s="1"/>
  <c r="BE21" i="26" s="1"/>
  <c r="AK21" i="26"/>
  <c r="AJ21" i="26"/>
  <c r="AH21" i="26"/>
  <c r="AG21" i="26"/>
  <c r="N21" i="26"/>
  <c r="M21" i="26"/>
  <c r="L21" i="26"/>
  <c r="K21" i="26"/>
  <c r="J21" i="26"/>
  <c r="I21" i="26"/>
  <c r="BX20" i="26"/>
  <c r="BW20" i="26"/>
  <c r="BV20" i="26"/>
  <c r="BF20" i="26"/>
  <c r="AL20" i="26"/>
  <c r="AI20" i="26" s="1"/>
  <c r="BE20" i="26" s="1"/>
  <c r="AK20" i="26"/>
  <c r="AJ20" i="26"/>
  <c r="AH20" i="26"/>
  <c r="AG20" i="26"/>
  <c r="N20" i="26"/>
  <c r="M20" i="26"/>
  <c r="L20" i="26"/>
  <c r="K20" i="26"/>
  <c r="J20" i="26"/>
  <c r="I20" i="26"/>
  <c r="CF19" i="26"/>
  <c r="CE19" i="26"/>
  <c r="CD19" i="26"/>
  <c r="BX19" i="26"/>
  <c r="BW19" i="26"/>
  <c r="BV19" i="26"/>
  <c r="BF19" i="26"/>
  <c r="AL19" i="26"/>
  <c r="BG19" i="26" s="1"/>
  <c r="AK19" i="26"/>
  <c r="AJ19" i="26"/>
  <c r="AH19" i="26"/>
  <c r="AG19" i="26"/>
  <c r="N19" i="26"/>
  <c r="K19" i="26" s="1"/>
  <c r="M19" i="26"/>
  <c r="L19" i="26"/>
  <c r="J19" i="26"/>
  <c r="I19" i="26"/>
  <c r="BX18" i="26"/>
  <c r="BW18" i="26"/>
  <c r="BV18" i="26"/>
  <c r="BF18" i="26"/>
  <c r="AL18" i="26"/>
  <c r="BG18" i="26" s="1"/>
  <c r="AK18" i="26"/>
  <c r="AJ18" i="26"/>
  <c r="AH18" i="26"/>
  <c r="AG18" i="26"/>
  <c r="N18" i="26"/>
  <c r="M18" i="26"/>
  <c r="L18" i="26"/>
  <c r="K18" i="26"/>
  <c r="J18" i="26"/>
  <c r="I18" i="26"/>
  <c r="BX17" i="26"/>
  <c r="BW17" i="26"/>
  <c r="BV17" i="26"/>
  <c r="BF17" i="26"/>
  <c r="AL17" i="26"/>
  <c r="AI17" i="26" s="1"/>
  <c r="BE17" i="26" s="1"/>
  <c r="AK17" i="26"/>
  <c r="AJ17" i="26"/>
  <c r="AH17" i="26"/>
  <c r="AG17" i="26"/>
  <c r="N17" i="26"/>
  <c r="M17" i="26"/>
  <c r="L17" i="26"/>
  <c r="K17" i="26"/>
  <c r="J17" i="26"/>
  <c r="I17" i="26"/>
  <c r="BX16" i="26"/>
  <c r="BW16" i="26"/>
  <c r="BV16" i="26"/>
  <c r="BF16" i="26"/>
  <c r="AL16" i="26"/>
  <c r="AI16" i="26" s="1"/>
  <c r="BE16" i="26" s="1"/>
  <c r="AK16" i="26"/>
  <c r="AJ16" i="26"/>
  <c r="AH16" i="26"/>
  <c r="AG16" i="26"/>
  <c r="N16" i="26"/>
  <c r="M16" i="26"/>
  <c r="L16" i="26"/>
  <c r="K16" i="26"/>
  <c r="J16" i="26"/>
  <c r="I16" i="26"/>
  <c r="BX15" i="26"/>
  <c r="BW15" i="26"/>
  <c r="BV15" i="26"/>
  <c r="BF15" i="26"/>
  <c r="AL15" i="26"/>
  <c r="BH15" i="26" s="1" a="1"/>
  <c r="AK15" i="26"/>
  <c r="AJ15" i="26"/>
  <c r="AH15" i="26"/>
  <c r="AG15" i="26"/>
  <c r="N15" i="26"/>
  <c r="M15" i="26"/>
  <c r="L15" i="26"/>
  <c r="K15" i="26"/>
  <c r="J15" i="26"/>
  <c r="I15" i="26"/>
  <c r="CF14" i="26"/>
  <c r="CE14" i="26"/>
  <c r="CD14" i="26"/>
  <c r="BX14" i="26"/>
  <c r="BW14" i="26"/>
  <c r="BV14" i="26"/>
  <c r="BY14" i="26" s="1"/>
  <c r="BF14" i="26"/>
  <c r="AL14" i="26"/>
  <c r="BG14" i="26" s="1"/>
  <c r="AK14" i="26"/>
  <c r="AJ14" i="26"/>
  <c r="AH14" i="26"/>
  <c r="AG14" i="26"/>
  <c r="N14" i="26"/>
  <c r="M14" i="26"/>
  <c r="L14" i="26"/>
  <c r="K14" i="26"/>
  <c r="J14" i="26"/>
  <c r="I14" i="26"/>
  <c r="BX13" i="26"/>
  <c r="BW13" i="26"/>
  <c r="BV13" i="26"/>
  <c r="BG13" i="26"/>
  <c r="BF13" i="26"/>
  <c r="AL13" i="26"/>
  <c r="AI13" i="26" s="1"/>
  <c r="BE13" i="26" s="1"/>
  <c r="AK13" i="26"/>
  <c r="AJ13" i="26"/>
  <c r="AH13" i="26"/>
  <c r="AG13" i="26"/>
  <c r="N13" i="26"/>
  <c r="K13" i="26" s="1"/>
  <c r="M13" i="26"/>
  <c r="L13" i="26"/>
  <c r="J13" i="26"/>
  <c r="I13" i="26"/>
  <c r="BX12" i="26"/>
  <c r="BW12" i="26"/>
  <c r="BV12" i="26"/>
  <c r="BF12" i="26"/>
  <c r="AL12" i="26"/>
  <c r="AI12" i="26" s="1"/>
  <c r="BE12" i="26" s="1"/>
  <c r="AK12" i="26"/>
  <c r="AJ12" i="26"/>
  <c r="AH12" i="26"/>
  <c r="AG12" i="26"/>
  <c r="N12" i="26"/>
  <c r="M12" i="26"/>
  <c r="L12" i="26"/>
  <c r="K12" i="26"/>
  <c r="J12" i="26"/>
  <c r="I12" i="26"/>
  <c r="BX11" i="26"/>
  <c r="BW11" i="26"/>
  <c r="BV11" i="26"/>
  <c r="BF11" i="26"/>
  <c r="AL11" i="26"/>
  <c r="BG11" i="26" s="1"/>
  <c r="AK11" i="26"/>
  <c r="AJ11" i="26"/>
  <c r="AH11" i="26"/>
  <c r="AG11" i="26"/>
  <c r="N11" i="26"/>
  <c r="K11" i="26" s="1"/>
  <c r="M11" i="26"/>
  <c r="L11" i="26"/>
  <c r="J11" i="26"/>
  <c r="I11" i="26"/>
  <c r="BX10" i="26"/>
  <c r="BW10" i="26"/>
  <c r="BV10" i="26"/>
  <c r="BY10" i="26" s="1"/>
  <c r="BF10" i="26"/>
  <c r="AL10" i="26"/>
  <c r="AI10" i="26" s="1"/>
  <c r="BE10" i="26" s="1"/>
  <c r="AK10" i="26"/>
  <c r="AJ10" i="26"/>
  <c r="AH10" i="26"/>
  <c r="AG10" i="26"/>
  <c r="N10" i="26"/>
  <c r="M10" i="26"/>
  <c r="L10" i="26"/>
  <c r="K10" i="26"/>
  <c r="J10" i="26"/>
  <c r="I10" i="26"/>
  <c r="CF9" i="26"/>
  <c r="CE9" i="26"/>
  <c r="CD9" i="26"/>
  <c r="BX9" i="26"/>
  <c r="BW9" i="26"/>
  <c r="BV9" i="26"/>
  <c r="BF9" i="26"/>
  <c r="AL9" i="26"/>
  <c r="BG9" i="26" s="1"/>
  <c r="AK9" i="26"/>
  <c r="AJ9" i="26"/>
  <c r="AH9" i="26"/>
  <c r="AG9" i="26"/>
  <c r="N9" i="26"/>
  <c r="K9" i="26" s="1"/>
  <c r="M9" i="26"/>
  <c r="L9" i="26"/>
  <c r="J9" i="26"/>
  <c r="I9" i="26"/>
  <c r="BX8" i="26"/>
  <c r="BW8" i="26"/>
  <c r="BV8" i="26"/>
  <c r="BF8" i="26"/>
  <c r="AL8" i="26"/>
  <c r="AI8" i="26" s="1"/>
  <c r="BE8" i="26" s="1"/>
  <c r="AK8" i="26"/>
  <c r="AJ8" i="26"/>
  <c r="AH8" i="26"/>
  <c r="AG8" i="26"/>
  <c r="N8" i="26"/>
  <c r="M8" i="26"/>
  <c r="L8" i="26"/>
  <c r="K8" i="26"/>
  <c r="J8" i="26"/>
  <c r="I8" i="26"/>
  <c r="BX7" i="26"/>
  <c r="BW7" i="26"/>
  <c r="BV7" i="26"/>
  <c r="BF7" i="26"/>
  <c r="AL7" i="26"/>
  <c r="BH5" i="26" s="1" a="1"/>
  <c r="AK7" i="26"/>
  <c r="AJ7" i="26"/>
  <c r="AH7" i="26"/>
  <c r="AG7" i="26"/>
  <c r="N7" i="26"/>
  <c r="M7" i="26"/>
  <c r="L7" i="26"/>
  <c r="K7" i="26"/>
  <c r="J7" i="26"/>
  <c r="I7" i="26"/>
  <c r="BX6" i="26"/>
  <c r="BW6" i="26"/>
  <c r="BV6" i="26"/>
  <c r="BF6" i="26"/>
  <c r="AL6" i="26"/>
  <c r="AI6" i="26" s="1"/>
  <c r="BE6" i="26" s="1"/>
  <c r="AK6" i="26"/>
  <c r="AJ6" i="26"/>
  <c r="AH6" i="26"/>
  <c r="AG6" i="26"/>
  <c r="N6" i="26"/>
  <c r="M6" i="26"/>
  <c r="L6" i="26"/>
  <c r="K6" i="26"/>
  <c r="J6" i="26"/>
  <c r="J40" i="26" s="1"/>
  <c r="I6" i="26"/>
  <c r="BX5" i="26"/>
  <c r="BW5" i="26"/>
  <c r="BV5" i="26"/>
  <c r="BF5" i="26"/>
  <c r="AL5" i="26"/>
  <c r="BG5" i="26" s="1"/>
  <c r="AK5" i="26"/>
  <c r="AJ5" i="26"/>
  <c r="AH5" i="26"/>
  <c r="AG5" i="26"/>
  <c r="N5" i="26"/>
  <c r="M5" i="26"/>
  <c r="M43" i="26" s="1"/>
  <c r="L5" i="26"/>
  <c r="L43" i="26" s="1"/>
  <c r="J5" i="26"/>
  <c r="I5" i="26"/>
  <c r="AG1" i="26"/>
  <c r="I1" i="26"/>
  <c r="BC46" i="25"/>
  <c r="BC47" i="25" s="1"/>
  <c r="BB46" i="25"/>
  <c r="BB47" i="25" s="1"/>
  <c r="BA46" i="25"/>
  <c r="BA47" i="25" s="1"/>
  <c r="AZ46" i="25"/>
  <c r="AZ47" i="25" s="1"/>
  <c r="AE46" i="25"/>
  <c r="AD46" i="25"/>
  <c r="AC46" i="25"/>
  <c r="AB46" i="25"/>
  <c r="BC44" i="25"/>
  <c r="BC45" i="25" s="1"/>
  <c r="BB44" i="25"/>
  <c r="BB45" i="25" s="1"/>
  <c r="BA44" i="25"/>
  <c r="BA45" i="25" s="1"/>
  <c r="AZ44" i="25"/>
  <c r="AZ45" i="25" s="1"/>
  <c r="AE44" i="25"/>
  <c r="AD44" i="25"/>
  <c r="AC44" i="25"/>
  <c r="AB44" i="25"/>
  <c r="BX39" i="25"/>
  <c r="BW39" i="25"/>
  <c r="BV39" i="25"/>
  <c r="BY39" i="25" s="1"/>
  <c r="BF39" i="25"/>
  <c r="AL39" i="25"/>
  <c r="BG39" i="25" s="1"/>
  <c r="AK39" i="25"/>
  <c r="AJ39" i="25"/>
  <c r="AH39" i="25"/>
  <c r="AG39" i="25"/>
  <c r="N39" i="25"/>
  <c r="K39" i="25" s="1"/>
  <c r="M39" i="25"/>
  <c r="L39" i="25"/>
  <c r="J39" i="25"/>
  <c r="I39" i="25"/>
  <c r="BY38" i="25"/>
  <c r="BX38" i="25"/>
  <c r="BW38" i="25"/>
  <c r="BV38" i="25"/>
  <c r="BF38" i="25"/>
  <c r="AL38" i="25"/>
  <c r="BG38" i="25" s="1"/>
  <c r="AK38" i="25"/>
  <c r="AJ38" i="25"/>
  <c r="AH38" i="25"/>
  <c r="AG38" i="25"/>
  <c r="N38" i="25"/>
  <c r="M38" i="25"/>
  <c r="L38" i="25"/>
  <c r="K38" i="25"/>
  <c r="J38" i="25"/>
  <c r="I38" i="25"/>
  <c r="BX37" i="25"/>
  <c r="BW37" i="25"/>
  <c r="BV37" i="25"/>
  <c r="BY37" i="25" s="1"/>
  <c r="BF37" i="25"/>
  <c r="AL37" i="25"/>
  <c r="AI37" i="25" s="1"/>
  <c r="AK37" i="25"/>
  <c r="AJ37" i="25"/>
  <c r="AH37" i="25"/>
  <c r="AG37" i="25"/>
  <c r="N37" i="25"/>
  <c r="K37" i="25" s="1"/>
  <c r="M37" i="25"/>
  <c r="L37" i="25"/>
  <c r="J37" i="25"/>
  <c r="I37" i="25"/>
  <c r="BX36" i="25"/>
  <c r="BW36" i="25"/>
  <c r="BV36" i="25"/>
  <c r="BY36" i="25" s="1"/>
  <c r="BF36" i="25"/>
  <c r="AL36" i="25"/>
  <c r="BG36" i="25" s="1"/>
  <c r="AK36" i="25"/>
  <c r="AJ36" i="25"/>
  <c r="AI36" i="25"/>
  <c r="BE36" i="25" s="1"/>
  <c r="AH36" i="25"/>
  <c r="AG36" i="25"/>
  <c r="N36" i="25"/>
  <c r="K36" i="25" s="1"/>
  <c r="M36" i="25"/>
  <c r="L36" i="25"/>
  <c r="J36" i="25"/>
  <c r="I36" i="25"/>
  <c r="BX35" i="25"/>
  <c r="BW35" i="25"/>
  <c r="BV35" i="25"/>
  <c r="BY35" i="25" s="1"/>
  <c r="BT35" i="25"/>
  <c r="BS35" i="25"/>
  <c r="BR35" i="25"/>
  <c r="BQ35" i="25"/>
  <c r="BP35" i="25"/>
  <c r="BN35" i="25"/>
  <c r="BM35" i="25"/>
  <c r="BL35" i="25"/>
  <c r="BH35" i="25" a="1"/>
  <c r="BH35" i="25" s="1"/>
  <c r="BF35" i="25"/>
  <c r="AL35" i="25"/>
  <c r="BG35" i="25" s="1"/>
  <c r="AK35" i="25"/>
  <c r="AJ35" i="25"/>
  <c r="AI35" i="25"/>
  <c r="AH35" i="25"/>
  <c r="AG35" i="25"/>
  <c r="N35" i="25"/>
  <c r="BK35" i="25" s="1"/>
  <c r="M35" i="25"/>
  <c r="L35" i="25"/>
  <c r="J35" i="25"/>
  <c r="I35" i="25"/>
  <c r="BY34" i="25"/>
  <c r="BX34" i="25"/>
  <c r="BW34" i="25"/>
  <c r="BV34" i="25"/>
  <c r="BF34" i="25"/>
  <c r="AL34" i="25"/>
  <c r="BG34" i="25" s="1"/>
  <c r="AK34" i="25"/>
  <c r="AJ34" i="25"/>
  <c r="AI34" i="25"/>
  <c r="BE34" i="25" s="1"/>
  <c r="AH34" i="25"/>
  <c r="AG34" i="25"/>
  <c r="N34" i="25"/>
  <c r="M34" i="25"/>
  <c r="L34" i="25"/>
  <c r="K34" i="25"/>
  <c r="J34" i="25"/>
  <c r="I34" i="25"/>
  <c r="BX33" i="25"/>
  <c r="BW33" i="25"/>
  <c r="BV33" i="25"/>
  <c r="BY33" i="25" s="1"/>
  <c r="BF33" i="25"/>
  <c r="AL33" i="25"/>
  <c r="BG33" i="25" s="1"/>
  <c r="AK33" i="25"/>
  <c r="AJ33" i="25"/>
  <c r="AH33" i="25"/>
  <c r="AG33" i="25"/>
  <c r="N33" i="25"/>
  <c r="K33" i="25" s="1"/>
  <c r="M33" i="25"/>
  <c r="L33" i="25"/>
  <c r="J33" i="25"/>
  <c r="I33" i="25"/>
  <c r="BX32" i="25"/>
  <c r="BW32" i="25"/>
  <c r="BV32" i="25"/>
  <c r="BY32" i="25" s="1"/>
  <c r="BG32" i="25"/>
  <c r="BF32" i="25"/>
  <c r="AL32" i="25"/>
  <c r="AK32" i="25"/>
  <c r="AJ32" i="25"/>
  <c r="AI32" i="25"/>
  <c r="BE32" i="25" s="1"/>
  <c r="AH32" i="25"/>
  <c r="AG32" i="25"/>
  <c r="N32" i="25"/>
  <c r="M32" i="25"/>
  <c r="L32" i="25"/>
  <c r="K32" i="25"/>
  <c r="J32" i="25"/>
  <c r="I32" i="25"/>
  <c r="BY31" i="25"/>
  <c r="BX31" i="25"/>
  <c r="BW31" i="25"/>
  <c r="BV31" i="25"/>
  <c r="BF31" i="25"/>
  <c r="AL31" i="25"/>
  <c r="BG31" i="25" s="1"/>
  <c r="AK31" i="25"/>
  <c r="AJ31" i="25"/>
  <c r="AH31" i="25"/>
  <c r="AG31" i="25"/>
  <c r="N31" i="25"/>
  <c r="M31" i="25"/>
  <c r="L31" i="25"/>
  <c r="K31" i="25"/>
  <c r="J31" i="25"/>
  <c r="I31" i="25"/>
  <c r="BY30" i="25"/>
  <c r="BX30" i="25"/>
  <c r="BW30" i="25"/>
  <c r="BV30" i="25"/>
  <c r="BT30" i="25"/>
  <c r="BT42" i="25" s="1"/>
  <c r="BS30" i="25"/>
  <c r="BS42" i="25" s="1"/>
  <c r="BR30" i="25"/>
  <c r="BR42" i="25" s="1"/>
  <c r="BQ30" i="25"/>
  <c r="BP30" i="25"/>
  <c r="BP42" i="25" s="1"/>
  <c r="BN30" i="25"/>
  <c r="BN42" i="25" s="1"/>
  <c r="BM30" i="25"/>
  <c r="BM42" i="25" s="1"/>
  <c r="BL30" i="25"/>
  <c r="BL42" i="25" s="1"/>
  <c r="BJ30" i="25"/>
  <c r="BH30" i="25" a="1"/>
  <c r="BH30" i="25" s="1"/>
  <c r="BH42" i="25" s="1"/>
  <c r="BF30" i="25"/>
  <c r="AL30" i="25"/>
  <c r="AK30" i="25"/>
  <c r="AK42" i="25" s="1"/>
  <c r="AJ30" i="25"/>
  <c r="AJ42" i="25" s="1"/>
  <c r="AI30" i="25"/>
  <c r="AH30" i="25"/>
  <c r="AH42" i="25" s="1"/>
  <c r="AG30" i="25"/>
  <c r="N30" i="25"/>
  <c r="BK30" i="25" s="1"/>
  <c r="M30" i="25"/>
  <c r="M42" i="25" s="1"/>
  <c r="L30" i="25"/>
  <c r="L42" i="25" s="1"/>
  <c r="K30" i="25"/>
  <c r="J30" i="25"/>
  <c r="J42" i="25" s="1"/>
  <c r="I30" i="25"/>
  <c r="CF29" i="25"/>
  <c r="CE29" i="25"/>
  <c r="CD29" i="25"/>
  <c r="BX29" i="25"/>
  <c r="BW29" i="25"/>
  <c r="BV29" i="25"/>
  <c r="BF29" i="25"/>
  <c r="AL29" i="25"/>
  <c r="BG29" i="25" s="1"/>
  <c r="AK29" i="25"/>
  <c r="AJ29" i="25"/>
  <c r="AH29" i="25"/>
  <c r="AG29" i="25"/>
  <c r="N29" i="25"/>
  <c r="M29" i="25"/>
  <c r="L29" i="25"/>
  <c r="K29" i="25"/>
  <c r="J29" i="25"/>
  <c r="I29" i="25"/>
  <c r="BX28" i="25"/>
  <c r="BW28" i="25"/>
  <c r="BV28" i="25"/>
  <c r="BF28" i="25"/>
  <c r="AL28" i="25"/>
  <c r="AI28" i="25" s="1"/>
  <c r="BE28" i="25" s="1"/>
  <c r="AK28" i="25"/>
  <c r="AJ28" i="25"/>
  <c r="AH28" i="25"/>
  <c r="AG28" i="25"/>
  <c r="N28" i="25"/>
  <c r="M28" i="25"/>
  <c r="L28" i="25"/>
  <c r="K28" i="25"/>
  <c r="J28" i="25"/>
  <c r="I28" i="25"/>
  <c r="BX27" i="25"/>
  <c r="BW27" i="25"/>
  <c r="BV27" i="25"/>
  <c r="BF27" i="25"/>
  <c r="AL27" i="25"/>
  <c r="AI27" i="25" s="1"/>
  <c r="AK27" i="25"/>
  <c r="AJ27" i="25"/>
  <c r="AH27" i="25"/>
  <c r="AG27" i="25"/>
  <c r="N27" i="25"/>
  <c r="K27" i="25" s="1"/>
  <c r="M27" i="25"/>
  <c r="L27" i="25"/>
  <c r="J27" i="25"/>
  <c r="I27" i="25"/>
  <c r="BX26" i="25"/>
  <c r="BW26" i="25"/>
  <c r="BV26" i="25"/>
  <c r="BY26" i="25" s="1"/>
  <c r="BF26" i="25"/>
  <c r="AL26" i="25"/>
  <c r="BG26" i="25" s="1"/>
  <c r="AK26" i="25"/>
  <c r="AJ26" i="25"/>
  <c r="AH26" i="25"/>
  <c r="AG26" i="25"/>
  <c r="N26" i="25"/>
  <c r="M26" i="25"/>
  <c r="L26" i="25"/>
  <c r="K26" i="25"/>
  <c r="J26" i="25"/>
  <c r="I26" i="25"/>
  <c r="BX25" i="25"/>
  <c r="BW25" i="25"/>
  <c r="BV25" i="25"/>
  <c r="BF25" i="25"/>
  <c r="AL25" i="25"/>
  <c r="AI25" i="25" s="1"/>
  <c r="AK25" i="25"/>
  <c r="AJ25" i="25"/>
  <c r="AH25" i="25"/>
  <c r="AH41" i="25" s="1"/>
  <c r="AG25" i="25"/>
  <c r="N25" i="25"/>
  <c r="M25" i="25"/>
  <c r="M41" i="25" s="1"/>
  <c r="L25" i="25"/>
  <c r="L41" i="25" s="1"/>
  <c r="J25" i="25"/>
  <c r="J41" i="25" s="1"/>
  <c r="I25" i="25"/>
  <c r="CF24" i="25"/>
  <c r="CE24" i="25"/>
  <c r="CD24" i="25"/>
  <c r="BX24" i="25"/>
  <c r="BW24" i="25"/>
  <c r="BY24" i="25" s="1"/>
  <c r="BV24" i="25"/>
  <c r="BF24" i="25"/>
  <c r="AL24" i="25"/>
  <c r="BG24" i="25" s="1"/>
  <c r="AK24" i="25"/>
  <c r="AJ24" i="25"/>
  <c r="AH24" i="25"/>
  <c r="AG24" i="25"/>
  <c r="N24" i="25"/>
  <c r="M24" i="25"/>
  <c r="L24" i="25"/>
  <c r="K24" i="25"/>
  <c r="J24" i="25"/>
  <c r="I24" i="25"/>
  <c r="BX23" i="25"/>
  <c r="BW23" i="25"/>
  <c r="BV23" i="25"/>
  <c r="BF23" i="25"/>
  <c r="AL23" i="25"/>
  <c r="AI23" i="25" s="1"/>
  <c r="BE23" i="25" s="1"/>
  <c r="AK23" i="25"/>
  <c r="AJ23" i="25"/>
  <c r="AH23" i="25"/>
  <c r="AG23" i="25"/>
  <c r="N23" i="25"/>
  <c r="K23" i="25" s="1"/>
  <c r="M23" i="25"/>
  <c r="L23" i="25"/>
  <c r="J23" i="25"/>
  <c r="I23" i="25"/>
  <c r="BX22" i="25"/>
  <c r="BW22" i="25"/>
  <c r="BV22" i="25"/>
  <c r="BF22" i="25"/>
  <c r="AL22" i="25"/>
  <c r="AI22" i="25" s="1"/>
  <c r="AK22" i="25"/>
  <c r="AJ22" i="25"/>
  <c r="AH22" i="25"/>
  <c r="AG22" i="25"/>
  <c r="N22" i="25"/>
  <c r="K22" i="25" s="1"/>
  <c r="M22" i="25"/>
  <c r="L22" i="25"/>
  <c r="J22" i="25"/>
  <c r="I22" i="25"/>
  <c r="BX21" i="25"/>
  <c r="BW21" i="25"/>
  <c r="BV21" i="25"/>
  <c r="BF21" i="25"/>
  <c r="AL21" i="25"/>
  <c r="AI21" i="25" s="1"/>
  <c r="AK21" i="25"/>
  <c r="AJ21" i="25"/>
  <c r="AH21" i="25"/>
  <c r="AG21" i="25"/>
  <c r="N21" i="25"/>
  <c r="K21" i="25" s="1"/>
  <c r="M21" i="25"/>
  <c r="L21" i="25"/>
  <c r="J21" i="25"/>
  <c r="I21" i="25"/>
  <c r="BX20" i="25"/>
  <c r="BW20" i="25"/>
  <c r="BV20" i="25"/>
  <c r="BY20" i="25" s="1"/>
  <c r="BG20" i="25"/>
  <c r="BF20" i="25"/>
  <c r="AL20" i="25"/>
  <c r="BH20" i="25" s="1" a="1"/>
  <c r="AK20" i="25"/>
  <c r="AJ20" i="25"/>
  <c r="AI20" i="25"/>
  <c r="AH20" i="25"/>
  <c r="AG20" i="25"/>
  <c r="N20" i="25"/>
  <c r="M20" i="25"/>
  <c r="L20" i="25"/>
  <c r="J20" i="25"/>
  <c r="I20" i="25"/>
  <c r="CF19" i="25"/>
  <c r="CE19" i="25"/>
  <c r="CD19" i="25"/>
  <c r="BX19" i="25"/>
  <c r="BW19" i="25"/>
  <c r="BV19" i="25"/>
  <c r="BF19" i="25"/>
  <c r="AL19" i="25"/>
  <c r="BG19" i="25" s="1"/>
  <c r="AK19" i="25"/>
  <c r="AJ19" i="25"/>
  <c r="AH19" i="25"/>
  <c r="AG19" i="25"/>
  <c r="N19" i="25"/>
  <c r="M19" i="25"/>
  <c r="L19" i="25"/>
  <c r="K19" i="25"/>
  <c r="J19" i="25"/>
  <c r="I19" i="25"/>
  <c r="BX18" i="25"/>
  <c r="BW18" i="25"/>
  <c r="BY18" i="25" s="1"/>
  <c r="BV18" i="25"/>
  <c r="BF18" i="25"/>
  <c r="AL18" i="25"/>
  <c r="BG18" i="25" s="1"/>
  <c r="AK18" i="25"/>
  <c r="AJ18" i="25"/>
  <c r="AH18" i="25"/>
  <c r="AG18" i="25"/>
  <c r="N18" i="25"/>
  <c r="M18" i="25"/>
  <c r="L18" i="25"/>
  <c r="K18" i="25"/>
  <c r="J18" i="25"/>
  <c r="I18" i="25"/>
  <c r="BX17" i="25"/>
  <c r="BW17" i="25"/>
  <c r="BV17" i="25"/>
  <c r="BF17" i="25"/>
  <c r="AL17" i="25"/>
  <c r="BG17" i="25" s="1"/>
  <c r="AK17" i="25"/>
  <c r="AJ17" i="25"/>
  <c r="AI17" i="25"/>
  <c r="AH17" i="25"/>
  <c r="AG17" i="25"/>
  <c r="N17" i="25"/>
  <c r="K17" i="25" s="1"/>
  <c r="M17" i="25"/>
  <c r="L17" i="25"/>
  <c r="J17" i="25"/>
  <c r="I17" i="25"/>
  <c r="BX16" i="25"/>
  <c r="BW16" i="25"/>
  <c r="BV16" i="25"/>
  <c r="BF16" i="25"/>
  <c r="AL16" i="25"/>
  <c r="BG16" i="25" s="1"/>
  <c r="AK16" i="25"/>
  <c r="AJ16" i="25"/>
  <c r="AH16" i="25"/>
  <c r="AG16" i="25"/>
  <c r="N16" i="25"/>
  <c r="K16" i="25" s="1"/>
  <c r="M16" i="25"/>
  <c r="L16" i="25"/>
  <c r="J16" i="25"/>
  <c r="I16" i="25"/>
  <c r="BY15" i="25"/>
  <c r="BX15" i="25"/>
  <c r="BW15" i="25"/>
  <c r="BV15" i="25"/>
  <c r="BF15" i="25"/>
  <c r="AL15" i="25"/>
  <c r="AI15" i="25" s="1"/>
  <c r="AK15" i="25"/>
  <c r="AJ15" i="25"/>
  <c r="AH15" i="25"/>
  <c r="AG15" i="25"/>
  <c r="N15" i="25"/>
  <c r="M15" i="25"/>
  <c r="L15" i="25"/>
  <c r="J15" i="25"/>
  <c r="I15" i="25"/>
  <c r="CF14" i="25"/>
  <c r="CE14" i="25"/>
  <c r="CD14" i="25"/>
  <c r="BX14" i="25"/>
  <c r="BW14" i="25"/>
  <c r="BV14" i="25"/>
  <c r="BF14" i="25"/>
  <c r="AL14" i="25"/>
  <c r="AI14" i="25" s="1"/>
  <c r="BE14" i="25" s="1"/>
  <c r="AK14" i="25"/>
  <c r="AJ14" i="25"/>
  <c r="AH14" i="25"/>
  <c r="AG14" i="25"/>
  <c r="N14" i="25"/>
  <c r="K14" i="25" s="1"/>
  <c r="M14" i="25"/>
  <c r="L14" i="25"/>
  <c r="J14" i="25"/>
  <c r="I14" i="25"/>
  <c r="BX13" i="25"/>
  <c r="BW13" i="25"/>
  <c r="BV13" i="25"/>
  <c r="BF13" i="25"/>
  <c r="AL13" i="25"/>
  <c r="AI13" i="25" s="1"/>
  <c r="BE13" i="25" s="1"/>
  <c r="AK13" i="25"/>
  <c r="AJ13" i="25"/>
  <c r="AH13" i="25"/>
  <c r="AG13" i="25"/>
  <c r="N13" i="25"/>
  <c r="M13" i="25"/>
  <c r="L13" i="25"/>
  <c r="K13" i="25"/>
  <c r="J13" i="25"/>
  <c r="I13" i="25"/>
  <c r="BX12" i="25"/>
  <c r="BW12" i="25"/>
  <c r="BV12" i="25"/>
  <c r="BF12" i="25"/>
  <c r="AL12" i="25"/>
  <c r="AI12" i="25" s="1"/>
  <c r="BE12" i="25" s="1"/>
  <c r="AK12" i="25"/>
  <c r="AJ12" i="25"/>
  <c r="AH12" i="25"/>
  <c r="AG12" i="25"/>
  <c r="N12" i="25"/>
  <c r="K12" i="25" s="1"/>
  <c r="M12" i="25"/>
  <c r="L12" i="25"/>
  <c r="J12" i="25"/>
  <c r="I12" i="25"/>
  <c r="BX11" i="25"/>
  <c r="BW11" i="25"/>
  <c r="BV11" i="25"/>
  <c r="BF11" i="25"/>
  <c r="AL11" i="25"/>
  <c r="BG11" i="25" s="1"/>
  <c r="AK11" i="25"/>
  <c r="AJ11" i="25"/>
  <c r="AH11" i="25"/>
  <c r="AG11" i="25"/>
  <c r="N11" i="25"/>
  <c r="K11" i="25" s="1"/>
  <c r="M11" i="25"/>
  <c r="L11" i="25"/>
  <c r="J11" i="25"/>
  <c r="I11" i="25"/>
  <c r="BX10" i="25"/>
  <c r="BW10" i="25"/>
  <c r="BV10" i="25"/>
  <c r="BY10" i="25" s="1"/>
  <c r="BF10" i="25"/>
  <c r="AL10" i="25"/>
  <c r="BH10" i="25" s="1" a="1"/>
  <c r="AK10" i="25"/>
  <c r="AJ10" i="25"/>
  <c r="AH10" i="25"/>
  <c r="AG10" i="25"/>
  <c r="N10" i="25"/>
  <c r="M10" i="25"/>
  <c r="L10" i="25"/>
  <c r="K10" i="25"/>
  <c r="J10" i="25"/>
  <c r="I10" i="25"/>
  <c r="CF9" i="25"/>
  <c r="CE9" i="25"/>
  <c r="CD9" i="25"/>
  <c r="BX9" i="25"/>
  <c r="BW9" i="25"/>
  <c r="BV9" i="25"/>
  <c r="BF9" i="25"/>
  <c r="AL9" i="25"/>
  <c r="AI9" i="25" s="1"/>
  <c r="BE9" i="25" s="1"/>
  <c r="AK9" i="25"/>
  <c r="AJ9" i="25"/>
  <c r="AH9" i="25"/>
  <c r="AG9" i="25"/>
  <c r="N9" i="25"/>
  <c r="M9" i="25"/>
  <c r="L9" i="25"/>
  <c r="K9" i="25"/>
  <c r="J9" i="25"/>
  <c r="I9" i="25"/>
  <c r="BX8" i="25"/>
  <c r="BW8" i="25"/>
  <c r="BV8" i="25"/>
  <c r="BF8" i="25"/>
  <c r="AL8" i="25"/>
  <c r="AI8" i="25" s="1"/>
  <c r="BE8" i="25" s="1"/>
  <c r="AK8" i="25"/>
  <c r="AJ8" i="25"/>
  <c r="AH8" i="25"/>
  <c r="AG8" i="25"/>
  <c r="N8" i="25"/>
  <c r="K8" i="25" s="1"/>
  <c r="M8" i="25"/>
  <c r="L8" i="25"/>
  <c r="J8" i="25"/>
  <c r="I8" i="25"/>
  <c r="BX7" i="25"/>
  <c r="BW7" i="25"/>
  <c r="BV7" i="25"/>
  <c r="BF7" i="25"/>
  <c r="AL7" i="25"/>
  <c r="AI7" i="25" s="1"/>
  <c r="BE7" i="25" s="1"/>
  <c r="AK7" i="25"/>
  <c r="AJ7" i="25"/>
  <c r="AH7" i="25"/>
  <c r="AG7" i="25"/>
  <c r="N7" i="25"/>
  <c r="M7" i="25"/>
  <c r="L7" i="25"/>
  <c r="K7" i="25"/>
  <c r="J7" i="25"/>
  <c r="I7" i="25"/>
  <c r="BX6" i="25"/>
  <c r="BW6" i="25"/>
  <c r="BV6" i="25"/>
  <c r="BF6" i="25"/>
  <c r="AL6" i="25"/>
  <c r="BG6" i="25" s="1"/>
  <c r="AK6" i="25"/>
  <c r="AJ6" i="25"/>
  <c r="AH6" i="25"/>
  <c r="AG6" i="25"/>
  <c r="N6" i="25"/>
  <c r="K6" i="25" s="1"/>
  <c r="M6" i="25"/>
  <c r="L6" i="25"/>
  <c r="J6" i="25"/>
  <c r="I6" i="25"/>
  <c r="BX5" i="25"/>
  <c r="BW5" i="25"/>
  <c r="BV5" i="25"/>
  <c r="BY5" i="25" s="1"/>
  <c r="BF5" i="25"/>
  <c r="AL5" i="25"/>
  <c r="BH5" i="25" s="1" a="1"/>
  <c r="AK5" i="25"/>
  <c r="AJ5" i="25"/>
  <c r="AH5" i="25"/>
  <c r="AG5" i="25"/>
  <c r="N5" i="25"/>
  <c r="M5" i="25"/>
  <c r="M43" i="25" s="1"/>
  <c r="L5" i="25"/>
  <c r="L43" i="25" s="1"/>
  <c r="J5" i="25"/>
  <c r="J43" i="25" s="1"/>
  <c r="I5" i="25"/>
  <c r="AG1" i="25"/>
  <c r="I1" i="25"/>
  <c r="BC46" i="24"/>
  <c r="BC47" i="24" s="1"/>
  <c r="BB46" i="24"/>
  <c r="BB47" i="24" s="1"/>
  <c r="BA46" i="24"/>
  <c r="BA47" i="24" s="1"/>
  <c r="AZ46" i="24"/>
  <c r="AZ47" i="24" s="1"/>
  <c r="AE46" i="24"/>
  <c r="AD46" i="24"/>
  <c r="AC46" i="24"/>
  <c r="AB46" i="24"/>
  <c r="BC44" i="24"/>
  <c r="BC45" i="24" s="1"/>
  <c r="BB44" i="24"/>
  <c r="BB45" i="24" s="1"/>
  <c r="BA44" i="24"/>
  <c r="BA45" i="24" s="1"/>
  <c r="AZ44" i="24"/>
  <c r="AZ45" i="24" s="1"/>
  <c r="AE44" i="24"/>
  <c r="AD44" i="24"/>
  <c r="AC44" i="24"/>
  <c r="AB44" i="24"/>
  <c r="BX39" i="24"/>
  <c r="BW39" i="24"/>
  <c r="BV39" i="24"/>
  <c r="BY39" i="24" s="1"/>
  <c r="BF39" i="24"/>
  <c r="AL39" i="24"/>
  <c r="BG39" i="24" s="1"/>
  <c r="AK39" i="24"/>
  <c r="AJ39" i="24"/>
  <c r="AH39" i="24"/>
  <c r="AG39" i="24"/>
  <c r="N39" i="24"/>
  <c r="K39" i="24" s="1"/>
  <c r="M39" i="24"/>
  <c r="L39" i="24"/>
  <c r="J39" i="24"/>
  <c r="I39" i="24"/>
  <c r="BY38" i="24"/>
  <c r="BX38" i="24"/>
  <c r="BW38" i="24"/>
  <c r="BV38" i="24"/>
  <c r="BF38" i="24"/>
  <c r="AL38" i="24"/>
  <c r="BG38" i="24" s="1"/>
  <c r="AK38" i="24"/>
  <c r="AJ38" i="24"/>
  <c r="AI38" i="24"/>
  <c r="BE38" i="24" s="1"/>
  <c r="AH38" i="24"/>
  <c r="AG38" i="24"/>
  <c r="N38" i="24"/>
  <c r="M38" i="24"/>
  <c r="L38" i="24"/>
  <c r="K38" i="24"/>
  <c r="J38" i="24"/>
  <c r="I38" i="24"/>
  <c r="BX37" i="24"/>
  <c r="BW37" i="24"/>
  <c r="BV37" i="24"/>
  <c r="BY37" i="24" s="1"/>
  <c r="BF37" i="24"/>
  <c r="AL37" i="24"/>
  <c r="AI37" i="24" s="1"/>
  <c r="BE37" i="24" s="1"/>
  <c r="AK37" i="24"/>
  <c r="AJ37" i="24"/>
  <c r="AH37" i="24"/>
  <c r="AG37" i="24"/>
  <c r="N37" i="24"/>
  <c r="K37" i="24" s="1"/>
  <c r="M37" i="24"/>
  <c r="L37" i="24"/>
  <c r="J37" i="24"/>
  <c r="I37" i="24"/>
  <c r="BX36" i="24"/>
  <c r="BW36" i="24"/>
  <c r="BV36" i="24"/>
  <c r="BY36" i="24" s="1"/>
  <c r="BG36" i="24"/>
  <c r="BF36" i="24"/>
  <c r="AL36" i="24"/>
  <c r="AK36" i="24"/>
  <c r="AJ36" i="24"/>
  <c r="AI36" i="24"/>
  <c r="AH36" i="24"/>
  <c r="AG36" i="24"/>
  <c r="N36" i="24"/>
  <c r="K36" i="24" s="1"/>
  <c r="BE36" i="24" s="1"/>
  <c r="M36" i="24"/>
  <c r="L36" i="24"/>
  <c r="J36" i="24"/>
  <c r="I36" i="24"/>
  <c r="BX35" i="24"/>
  <c r="BW35" i="24"/>
  <c r="BV35" i="24"/>
  <c r="BY35" i="24" s="1"/>
  <c r="BT35" i="24"/>
  <c r="BS35" i="24"/>
  <c r="BR35" i="24"/>
  <c r="BQ35" i="24"/>
  <c r="BP35" i="24"/>
  <c r="BN35" i="24"/>
  <c r="BM35" i="24"/>
  <c r="BL35" i="24"/>
  <c r="BH35" i="24" a="1"/>
  <c r="BH35" i="24" s="1"/>
  <c r="BF35" i="24"/>
  <c r="AL35" i="24"/>
  <c r="BG35" i="24" s="1"/>
  <c r="AK35" i="24"/>
  <c r="AJ35" i="24"/>
  <c r="AI35" i="24"/>
  <c r="AH35" i="24"/>
  <c r="AG35" i="24"/>
  <c r="N35" i="24"/>
  <c r="BK35" i="24" s="1"/>
  <c r="M35" i="24"/>
  <c r="L35" i="24"/>
  <c r="J35" i="24"/>
  <c r="I35" i="24"/>
  <c r="BY34" i="24"/>
  <c r="BX34" i="24"/>
  <c r="BW34" i="24"/>
  <c r="BV34" i="24"/>
  <c r="BF34" i="24"/>
  <c r="AL34" i="24"/>
  <c r="BG34" i="24" s="1"/>
  <c r="AK34" i="24"/>
  <c r="AJ34" i="24"/>
  <c r="AI34" i="24"/>
  <c r="BE34" i="24" s="1"/>
  <c r="AH34" i="24"/>
  <c r="AG34" i="24"/>
  <c r="N34" i="24"/>
  <c r="M34" i="24"/>
  <c r="L34" i="24"/>
  <c r="K34" i="24"/>
  <c r="J34" i="24"/>
  <c r="I34" i="24"/>
  <c r="BX33" i="24"/>
  <c r="BW33" i="24"/>
  <c r="BV33" i="24"/>
  <c r="BY33" i="24" s="1"/>
  <c r="BF33" i="24"/>
  <c r="AL33" i="24"/>
  <c r="BG33" i="24" s="1"/>
  <c r="AK33" i="24"/>
  <c r="AJ33" i="24"/>
  <c r="AH33" i="24"/>
  <c r="AG33" i="24"/>
  <c r="N33" i="24"/>
  <c r="K33" i="24" s="1"/>
  <c r="M33" i="24"/>
  <c r="L33" i="24"/>
  <c r="J33" i="24"/>
  <c r="I33" i="24"/>
  <c r="BX32" i="24"/>
  <c r="BW32" i="24"/>
  <c r="BV32" i="24"/>
  <c r="BY32" i="24" s="1"/>
  <c r="BG32" i="24"/>
  <c r="BF32" i="24"/>
  <c r="AL32" i="24"/>
  <c r="AK32" i="24"/>
  <c r="AJ32" i="24"/>
  <c r="AI32" i="24"/>
  <c r="BE32" i="24" s="1"/>
  <c r="AH32" i="24"/>
  <c r="AG32" i="24"/>
  <c r="N32" i="24"/>
  <c r="M32" i="24"/>
  <c r="L32" i="24"/>
  <c r="K32" i="24"/>
  <c r="J32" i="24"/>
  <c r="I32" i="24"/>
  <c r="BY31" i="24"/>
  <c r="BX31" i="24"/>
  <c r="BW31" i="24"/>
  <c r="BV31" i="24"/>
  <c r="BF31" i="24"/>
  <c r="AL31" i="24"/>
  <c r="BG31" i="24" s="1"/>
  <c r="AK31" i="24"/>
  <c r="AJ31" i="24"/>
  <c r="AH31" i="24"/>
  <c r="AG31" i="24"/>
  <c r="N31" i="24"/>
  <c r="M31" i="24"/>
  <c r="L31" i="24"/>
  <c r="K31" i="24"/>
  <c r="J31" i="24"/>
  <c r="I31" i="24"/>
  <c r="BY30" i="24"/>
  <c r="BX30" i="24"/>
  <c r="BW30" i="24"/>
  <c r="BV30" i="24"/>
  <c r="BT30" i="24"/>
  <c r="BT42" i="24" s="1"/>
  <c r="BS30" i="24"/>
  <c r="BR30" i="24"/>
  <c r="BQ30" i="24"/>
  <c r="BP30" i="24"/>
  <c r="BN30" i="24"/>
  <c r="BN42" i="24" s="1"/>
  <c r="BM30" i="24"/>
  <c r="BL30" i="24"/>
  <c r="BJ30" i="24"/>
  <c r="BH30" i="24" a="1"/>
  <c r="BH30" i="24" s="1"/>
  <c r="BH42" i="24" s="1"/>
  <c r="BF30" i="24"/>
  <c r="AL30" i="24"/>
  <c r="AK30" i="24"/>
  <c r="AK42" i="24" s="1"/>
  <c r="AJ30" i="24"/>
  <c r="AJ42" i="24" s="1"/>
  <c r="AI30" i="24"/>
  <c r="AH30" i="24"/>
  <c r="AH42" i="24" s="1"/>
  <c r="AG30" i="24"/>
  <c r="N30" i="24"/>
  <c r="BK30" i="24" s="1"/>
  <c r="M30" i="24"/>
  <c r="M42" i="24" s="1"/>
  <c r="L30" i="24"/>
  <c r="L42" i="24" s="1"/>
  <c r="J30" i="24"/>
  <c r="J42" i="24" s="1"/>
  <c r="I30" i="24"/>
  <c r="CF29" i="24"/>
  <c r="CE29" i="24"/>
  <c r="CD29" i="24"/>
  <c r="BX29" i="24"/>
  <c r="BW29" i="24"/>
  <c r="BV29" i="24"/>
  <c r="BF29" i="24"/>
  <c r="AL29" i="24"/>
  <c r="BG29" i="24" s="1"/>
  <c r="AK29" i="24"/>
  <c r="AJ29" i="24"/>
  <c r="AH29" i="24"/>
  <c r="AG29" i="24"/>
  <c r="N29" i="24"/>
  <c r="M29" i="24"/>
  <c r="L29" i="24"/>
  <c r="K29" i="24"/>
  <c r="J29" i="24"/>
  <c r="I29" i="24"/>
  <c r="BX28" i="24"/>
  <c r="BW28" i="24"/>
  <c r="BV28" i="24"/>
  <c r="BF28" i="24"/>
  <c r="AL28" i="24"/>
  <c r="AI28" i="24" s="1"/>
  <c r="AK28" i="24"/>
  <c r="AJ28" i="24"/>
  <c r="AH28" i="24"/>
  <c r="AG28" i="24"/>
  <c r="N28" i="24"/>
  <c r="K28" i="24" s="1"/>
  <c r="M28" i="24"/>
  <c r="L28" i="24"/>
  <c r="J28" i="24"/>
  <c r="I28" i="24"/>
  <c r="BX27" i="24"/>
  <c r="BW27" i="24"/>
  <c r="BV27" i="24"/>
  <c r="BY27" i="24" s="1"/>
  <c r="BF27" i="24"/>
  <c r="AL27" i="24"/>
  <c r="AI27" i="24" s="1"/>
  <c r="BE27" i="24" s="1"/>
  <c r="AK27" i="24"/>
  <c r="AJ27" i="24"/>
  <c r="AH27" i="24"/>
  <c r="AG27" i="24"/>
  <c r="N27" i="24"/>
  <c r="K27" i="24" s="1"/>
  <c r="M27" i="24"/>
  <c r="L27" i="24"/>
  <c r="J27" i="24"/>
  <c r="I27" i="24"/>
  <c r="BX26" i="24"/>
  <c r="BW26" i="24"/>
  <c r="BV26" i="24"/>
  <c r="BY26" i="24" s="1"/>
  <c r="BF26" i="24"/>
  <c r="AL26" i="24"/>
  <c r="AI26" i="24" s="1"/>
  <c r="BE26" i="24" s="1"/>
  <c r="AK26" i="24"/>
  <c r="AJ26" i="24"/>
  <c r="AH26" i="24"/>
  <c r="AG26" i="24"/>
  <c r="N26" i="24"/>
  <c r="M26" i="24"/>
  <c r="L26" i="24"/>
  <c r="K26" i="24"/>
  <c r="J26" i="24"/>
  <c r="I26" i="24"/>
  <c r="BX25" i="24"/>
  <c r="BW25" i="24"/>
  <c r="BV25" i="24"/>
  <c r="BF25" i="24"/>
  <c r="AL25" i="24"/>
  <c r="BH25" i="24" s="1" a="1"/>
  <c r="AK25" i="24"/>
  <c r="AJ25" i="24"/>
  <c r="AH25" i="24"/>
  <c r="AG25" i="24"/>
  <c r="N25" i="24"/>
  <c r="M25" i="24"/>
  <c r="M41" i="24" s="1"/>
  <c r="L25" i="24"/>
  <c r="L41" i="24" s="1"/>
  <c r="J25" i="24"/>
  <c r="J41" i="24" s="1"/>
  <c r="I25" i="24"/>
  <c r="CF24" i="24"/>
  <c r="CE24" i="24"/>
  <c r="CD24" i="24"/>
  <c r="BX24" i="24"/>
  <c r="BW24" i="24"/>
  <c r="BV24" i="24"/>
  <c r="BF24" i="24"/>
  <c r="AL24" i="24"/>
  <c r="BG24" i="24" s="1"/>
  <c r="AK24" i="24"/>
  <c r="AJ24" i="24"/>
  <c r="AH24" i="24"/>
  <c r="AG24" i="24"/>
  <c r="N24" i="24"/>
  <c r="M24" i="24"/>
  <c r="L24" i="24"/>
  <c r="K24" i="24"/>
  <c r="J24" i="24"/>
  <c r="I24" i="24"/>
  <c r="BX23" i="24"/>
  <c r="BW23" i="24"/>
  <c r="BV23" i="24"/>
  <c r="BF23" i="24"/>
  <c r="AL23" i="24"/>
  <c r="AI23" i="24" s="1"/>
  <c r="BE23" i="24" s="1"/>
  <c r="AK23" i="24"/>
  <c r="AJ23" i="24"/>
  <c r="AH23" i="24"/>
  <c r="AG23" i="24"/>
  <c r="N23" i="24"/>
  <c r="M23" i="24"/>
  <c r="L23" i="24"/>
  <c r="K23" i="24"/>
  <c r="J23" i="24"/>
  <c r="I23" i="24"/>
  <c r="BX22" i="24"/>
  <c r="BW22" i="24"/>
  <c r="BV22" i="24"/>
  <c r="BF22" i="24"/>
  <c r="AL22" i="24"/>
  <c r="AI22" i="24" s="1"/>
  <c r="AK22" i="24"/>
  <c r="AJ22" i="24"/>
  <c r="AH22" i="24"/>
  <c r="AG22" i="24"/>
  <c r="N22" i="24"/>
  <c r="K22" i="24" s="1"/>
  <c r="M22" i="24"/>
  <c r="L22" i="24"/>
  <c r="J22" i="24"/>
  <c r="I22" i="24"/>
  <c r="BX21" i="24"/>
  <c r="BW21" i="24"/>
  <c r="BV21" i="24"/>
  <c r="BY21" i="24" s="1"/>
  <c r="BF21" i="24"/>
  <c r="AL21" i="24"/>
  <c r="BG21" i="24" s="1"/>
  <c r="AK21" i="24"/>
  <c r="AJ21" i="24"/>
  <c r="AH21" i="24"/>
  <c r="AG21" i="24"/>
  <c r="N21" i="24"/>
  <c r="M21" i="24"/>
  <c r="L21" i="24"/>
  <c r="K21" i="24"/>
  <c r="J21" i="24"/>
  <c r="I21" i="24"/>
  <c r="BX20" i="24"/>
  <c r="BW20" i="24"/>
  <c r="BV20" i="24"/>
  <c r="BY20" i="24" s="1"/>
  <c r="BF20" i="24"/>
  <c r="AL20" i="24"/>
  <c r="BH20" i="24" s="1" a="1"/>
  <c r="BH20" i="24" s="1"/>
  <c r="AK20" i="24"/>
  <c r="AJ20" i="24"/>
  <c r="AH20" i="24"/>
  <c r="AG20" i="24"/>
  <c r="N20" i="24"/>
  <c r="M20" i="24"/>
  <c r="L20" i="24"/>
  <c r="J20" i="24"/>
  <c r="I20" i="24"/>
  <c r="CF19" i="24"/>
  <c r="CE19" i="24"/>
  <c r="CD19" i="24"/>
  <c r="BX19" i="24"/>
  <c r="BW19" i="24"/>
  <c r="BV19" i="24"/>
  <c r="BF19" i="24"/>
  <c r="AL19" i="24"/>
  <c r="AI19" i="24" s="1"/>
  <c r="BE19" i="24" s="1"/>
  <c r="AK19" i="24"/>
  <c r="AJ19" i="24"/>
  <c r="AH19" i="24"/>
  <c r="AG19" i="24"/>
  <c r="N19" i="24"/>
  <c r="M19" i="24"/>
  <c r="L19" i="24"/>
  <c r="K19" i="24"/>
  <c r="J19" i="24"/>
  <c r="I19" i="24"/>
  <c r="BX18" i="24"/>
  <c r="BW18" i="24"/>
  <c r="BV18" i="24"/>
  <c r="BF18" i="24"/>
  <c r="AL18" i="24"/>
  <c r="BG18" i="24" s="1"/>
  <c r="AK18" i="24"/>
  <c r="AJ18" i="24"/>
  <c r="AH18" i="24"/>
  <c r="AG18" i="24"/>
  <c r="N18" i="24"/>
  <c r="K18" i="24" s="1"/>
  <c r="M18" i="24"/>
  <c r="L18" i="24"/>
  <c r="J18" i="24"/>
  <c r="I18" i="24"/>
  <c r="BX17" i="24"/>
  <c r="BW17" i="24"/>
  <c r="BV17" i="24"/>
  <c r="BF17" i="24"/>
  <c r="AL17" i="24"/>
  <c r="AI17" i="24" s="1"/>
  <c r="BE17" i="24" s="1"/>
  <c r="AK17" i="24"/>
  <c r="AJ17" i="24"/>
  <c r="AH17" i="24"/>
  <c r="AG17" i="24"/>
  <c r="N17" i="24"/>
  <c r="K17" i="24" s="1"/>
  <c r="M17" i="24"/>
  <c r="L17" i="24"/>
  <c r="J17" i="24"/>
  <c r="I17" i="24"/>
  <c r="BX16" i="24"/>
  <c r="BW16" i="24"/>
  <c r="BV16" i="24"/>
  <c r="BF16" i="24"/>
  <c r="AL16" i="24"/>
  <c r="AI16" i="24" s="1"/>
  <c r="AK16" i="24"/>
  <c r="AJ16" i="24"/>
  <c r="AH16" i="24"/>
  <c r="AG16" i="24"/>
  <c r="N16" i="24"/>
  <c r="K16" i="24" s="1"/>
  <c r="M16" i="24"/>
  <c r="L16" i="24"/>
  <c r="J16" i="24"/>
  <c r="I16" i="24"/>
  <c r="BX15" i="24"/>
  <c r="BW15" i="24"/>
  <c r="BV15" i="24"/>
  <c r="BF15" i="24"/>
  <c r="AL15" i="24"/>
  <c r="BH15" i="24" s="1" a="1"/>
  <c r="AK15" i="24"/>
  <c r="AJ15" i="24"/>
  <c r="AH15" i="24"/>
  <c r="AG15" i="24"/>
  <c r="N15" i="24"/>
  <c r="M15" i="24"/>
  <c r="L15" i="24"/>
  <c r="J15" i="24"/>
  <c r="I15" i="24"/>
  <c r="CF14" i="24"/>
  <c r="CE14" i="24"/>
  <c r="CD14" i="24"/>
  <c r="BX14" i="24"/>
  <c r="BW14" i="24"/>
  <c r="BV14" i="24"/>
  <c r="BF14" i="24"/>
  <c r="AL14" i="24"/>
  <c r="AI14" i="24" s="1"/>
  <c r="BE14" i="24" s="1"/>
  <c r="AK14" i="24"/>
  <c r="AJ14" i="24"/>
  <c r="AH14" i="24"/>
  <c r="AG14" i="24"/>
  <c r="N14" i="24"/>
  <c r="M14" i="24"/>
  <c r="L14" i="24"/>
  <c r="K14" i="24"/>
  <c r="J14" i="24"/>
  <c r="I14" i="24"/>
  <c r="BX13" i="24"/>
  <c r="BW13" i="24"/>
  <c r="BV13" i="24"/>
  <c r="BY13" i="24" s="1"/>
  <c r="BF13" i="24"/>
  <c r="AL13" i="24"/>
  <c r="BG13" i="24" s="1"/>
  <c r="AK13" i="24"/>
  <c r="AJ13" i="24"/>
  <c r="AH13" i="24"/>
  <c r="AG13" i="24"/>
  <c r="N13" i="24"/>
  <c r="M13" i="24"/>
  <c r="L13" i="24"/>
  <c r="K13" i="24"/>
  <c r="J13" i="24"/>
  <c r="I13" i="24"/>
  <c r="BX12" i="24"/>
  <c r="BW12" i="24"/>
  <c r="BV12" i="24"/>
  <c r="BF12" i="24"/>
  <c r="AL12" i="24"/>
  <c r="BG12" i="24" s="1"/>
  <c r="AK12" i="24"/>
  <c r="AJ12" i="24"/>
  <c r="AH12" i="24"/>
  <c r="AG12" i="24"/>
  <c r="N12" i="24"/>
  <c r="K12" i="24" s="1"/>
  <c r="M12" i="24"/>
  <c r="L12" i="24"/>
  <c r="J12" i="24"/>
  <c r="I12" i="24"/>
  <c r="BX11" i="24"/>
  <c r="BW11" i="24"/>
  <c r="BV11" i="24"/>
  <c r="BF11" i="24"/>
  <c r="AL11" i="24"/>
  <c r="BG11" i="24" s="1"/>
  <c r="AK11" i="24"/>
  <c r="AJ11" i="24"/>
  <c r="AH11" i="24"/>
  <c r="AG11" i="24"/>
  <c r="N11" i="24"/>
  <c r="M11" i="24"/>
  <c r="L11" i="24"/>
  <c r="K11" i="24"/>
  <c r="J11" i="24"/>
  <c r="I11" i="24"/>
  <c r="BX10" i="24"/>
  <c r="BW10" i="24"/>
  <c r="BV10" i="24"/>
  <c r="BF10" i="24"/>
  <c r="AL10" i="24"/>
  <c r="BG10" i="24" s="1"/>
  <c r="AK10" i="24"/>
  <c r="AJ10" i="24"/>
  <c r="AH10" i="24"/>
  <c r="AG10" i="24"/>
  <c r="N10" i="24"/>
  <c r="M10" i="24"/>
  <c r="L10" i="24"/>
  <c r="K10" i="24"/>
  <c r="J10" i="24"/>
  <c r="I10" i="24"/>
  <c r="CF9" i="24"/>
  <c r="CE9" i="24"/>
  <c r="CD9" i="24"/>
  <c r="BX9" i="24"/>
  <c r="BW9" i="24"/>
  <c r="BV9" i="24"/>
  <c r="BF9" i="24"/>
  <c r="AL9" i="24"/>
  <c r="AK9" i="24"/>
  <c r="AJ9" i="24"/>
  <c r="AI9" i="24"/>
  <c r="BE9" i="24" s="1"/>
  <c r="AH9" i="24"/>
  <c r="AG9" i="24"/>
  <c r="N9" i="24"/>
  <c r="BG9" i="24" s="1"/>
  <c r="M9" i="24"/>
  <c r="L9" i="24"/>
  <c r="K9" i="24"/>
  <c r="J9" i="24"/>
  <c r="I9" i="24"/>
  <c r="BX8" i="24"/>
  <c r="BW8" i="24"/>
  <c r="BV8" i="24"/>
  <c r="BF8" i="24"/>
  <c r="AL8" i="24"/>
  <c r="BG8" i="24" s="1"/>
  <c r="AK8" i="24"/>
  <c r="AJ8" i="24"/>
  <c r="AI8" i="24"/>
  <c r="AH8" i="24"/>
  <c r="AG8" i="24"/>
  <c r="N8" i="24"/>
  <c r="M8" i="24"/>
  <c r="L8" i="24"/>
  <c r="K8" i="24"/>
  <c r="J8" i="24"/>
  <c r="I8" i="24"/>
  <c r="BX7" i="24"/>
  <c r="BW7" i="24"/>
  <c r="BY7" i="24" s="1"/>
  <c r="BV7" i="24"/>
  <c r="BF7" i="24"/>
  <c r="AL7" i="24"/>
  <c r="BG7" i="24" s="1"/>
  <c r="AK7" i="24"/>
  <c r="AJ7" i="24"/>
  <c r="AI7" i="24"/>
  <c r="BE7" i="24" s="1"/>
  <c r="AH7" i="24"/>
  <c r="AG7" i="24"/>
  <c r="N7" i="24"/>
  <c r="M7" i="24"/>
  <c r="L7" i="24"/>
  <c r="K7" i="24"/>
  <c r="J7" i="24"/>
  <c r="I7" i="24"/>
  <c r="BX6" i="24"/>
  <c r="BW6" i="24"/>
  <c r="BV6" i="24"/>
  <c r="BF6" i="24"/>
  <c r="AL6" i="24"/>
  <c r="BH5" i="24" s="1" a="1"/>
  <c r="AK6" i="24"/>
  <c r="AJ6" i="24"/>
  <c r="AI6" i="24"/>
  <c r="BE6" i="24" s="1"/>
  <c r="AH6" i="24"/>
  <c r="AG6" i="24"/>
  <c r="N6" i="24"/>
  <c r="K6" i="24" s="1"/>
  <c r="M6" i="24"/>
  <c r="L6" i="24"/>
  <c r="J6" i="24"/>
  <c r="I6" i="24"/>
  <c r="BX5" i="24"/>
  <c r="CB9" i="24" s="1"/>
  <c r="BW5" i="24"/>
  <c r="BV5" i="24"/>
  <c r="BZ9" i="24" s="1"/>
  <c r="BF5" i="24"/>
  <c r="AL5" i="24"/>
  <c r="AI5" i="24" s="1"/>
  <c r="AK5" i="24"/>
  <c r="AJ5" i="24"/>
  <c r="AH5" i="24"/>
  <c r="AG5" i="24"/>
  <c r="N5" i="24"/>
  <c r="M5" i="24"/>
  <c r="M43" i="24" s="1"/>
  <c r="L5" i="24"/>
  <c r="L43" i="24" s="1"/>
  <c r="K5" i="24"/>
  <c r="J5" i="24"/>
  <c r="J43" i="24" s="1"/>
  <c r="I5" i="24"/>
  <c r="AG1" i="24"/>
  <c r="I1" i="24"/>
  <c r="BW40" i="22"/>
  <c r="BY40" i="22"/>
  <c r="BX40" i="22"/>
  <c r="CB9" i="22"/>
  <c r="BC46" i="23"/>
  <c r="BB46" i="23"/>
  <c r="BB47" i="23" s="1"/>
  <c r="BA46" i="23"/>
  <c r="BA47" i="23" s="1"/>
  <c r="AZ46" i="23"/>
  <c r="AZ47" i="23" s="1"/>
  <c r="AE46" i="23"/>
  <c r="AD46" i="23"/>
  <c r="AC46" i="23"/>
  <c r="AB46" i="23"/>
  <c r="BC44" i="23"/>
  <c r="BB44" i="23"/>
  <c r="BA44" i="23"/>
  <c r="AZ44" i="23"/>
  <c r="AE44" i="23"/>
  <c r="AD44" i="23"/>
  <c r="AC44" i="23"/>
  <c r="AB44" i="23"/>
  <c r="BX39" i="23"/>
  <c r="BW39" i="23"/>
  <c r="BV39" i="23"/>
  <c r="BY39" i="23" s="1"/>
  <c r="BF39" i="23"/>
  <c r="AL39" i="23"/>
  <c r="AK39" i="23"/>
  <c r="AJ39" i="23"/>
  <c r="AH39" i="23"/>
  <c r="AG39" i="23"/>
  <c r="N39" i="23"/>
  <c r="K39" i="23" s="1"/>
  <c r="M39" i="23"/>
  <c r="L39" i="23"/>
  <c r="J39" i="23"/>
  <c r="I39" i="23"/>
  <c r="BX38" i="23"/>
  <c r="BW38" i="23"/>
  <c r="BV38" i="23"/>
  <c r="BY38" i="23" s="1"/>
  <c r="BF38" i="23"/>
  <c r="AL38" i="23"/>
  <c r="AI38" i="23" s="1"/>
  <c r="AK38" i="23"/>
  <c r="AJ38" i="23"/>
  <c r="AH38" i="23"/>
  <c r="AG38" i="23"/>
  <c r="N38" i="23"/>
  <c r="K38" i="23" s="1"/>
  <c r="M38" i="23"/>
  <c r="L38" i="23"/>
  <c r="J38" i="23"/>
  <c r="I38" i="23"/>
  <c r="BX37" i="23"/>
  <c r="BW37" i="23"/>
  <c r="BV37" i="23"/>
  <c r="BY37" i="23" s="1"/>
  <c r="BF37" i="23"/>
  <c r="AL37" i="23"/>
  <c r="AI37" i="23" s="1"/>
  <c r="AK37" i="23"/>
  <c r="AJ37" i="23"/>
  <c r="AH37" i="23"/>
  <c r="AG37" i="23"/>
  <c r="N37" i="23"/>
  <c r="K37" i="23" s="1"/>
  <c r="M37" i="23"/>
  <c r="L37" i="23"/>
  <c r="J37" i="23"/>
  <c r="I37" i="23"/>
  <c r="BX36" i="23"/>
  <c r="BW36" i="23"/>
  <c r="BV36" i="23"/>
  <c r="BY36" i="23" s="1"/>
  <c r="BF36" i="23"/>
  <c r="AL36" i="23"/>
  <c r="AI36" i="23" s="1"/>
  <c r="AK36" i="23"/>
  <c r="AJ36" i="23"/>
  <c r="AH36" i="23"/>
  <c r="AG36" i="23"/>
  <c r="N36" i="23"/>
  <c r="K36" i="23" s="1"/>
  <c r="M36" i="23"/>
  <c r="L36" i="23"/>
  <c r="J36" i="23"/>
  <c r="I36" i="23"/>
  <c r="BX35" i="23"/>
  <c r="BW35" i="23"/>
  <c r="BV35" i="23"/>
  <c r="BY35" i="23" s="1"/>
  <c r="BT35" i="23"/>
  <c r="BS35" i="23"/>
  <c r="BR35" i="23"/>
  <c r="BQ35" i="23"/>
  <c r="BP35" i="23"/>
  <c r="BN35" i="23"/>
  <c r="BM35" i="23"/>
  <c r="BL35" i="23"/>
  <c r="BF35" i="23"/>
  <c r="AL35" i="23"/>
  <c r="AI35" i="23" s="1"/>
  <c r="AK35" i="23"/>
  <c r="AJ35" i="23"/>
  <c r="AH35" i="23"/>
  <c r="AG35" i="23"/>
  <c r="N35" i="23"/>
  <c r="M35" i="23"/>
  <c r="L35" i="23"/>
  <c r="J35" i="23"/>
  <c r="I35" i="23"/>
  <c r="BX34" i="23"/>
  <c r="BW34" i="23"/>
  <c r="BV34" i="23"/>
  <c r="BY34" i="23" s="1"/>
  <c r="BF34" i="23"/>
  <c r="AL34" i="23"/>
  <c r="AI34" i="23" s="1"/>
  <c r="AK34" i="23"/>
  <c r="AJ34" i="23"/>
  <c r="AH34" i="23"/>
  <c r="AG34" i="23"/>
  <c r="N34" i="23"/>
  <c r="K34" i="23" s="1"/>
  <c r="M34" i="23"/>
  <c r="L34" i="23"/>
  <c r="J34" i="23"/>
  <c r="I34" i="23"/>
  <c r="BX33" i="23"/>
  <c r="BW33" i="23"/>
  <c r="BV33" i="23"/>
  <c r="BY33" i="23" s="1"/>
  <c r="BF33" i="23"/>
  <c r="AL33" i="23"/>
  <c r="BG33" i="23" s="1"/>
  <c r="AK33" i="23"/>
  <c r="AJ33" i="23"/>
  <c r="AH33" i="23"/>
  <c r="AG33" i="23"/>
  <c r="N33" i="23"/>
  <c r="K33" i="23" s="1"/>
  <c r="M33" i="23"/>
  <c r="L33" i="23"/>
  <c r="J33" i="23"/>
  <c r="I33" i="23"/>
  <c r="BY32" i="23"/>
  <c r="BX32" i="23"/>
  <c r="BW32" i="23"/>
  <c r="BV32" i="23"/>
  <c r="BF32" i="23"/>
  <c r="AL32" i="23"/>
  <c r="BG32" i="23" s="1"/>
  <c r="AK32" i="23"/>
  <c r="AJ32" i="23"/>
  <c r="AH32" i="23"/>
  <c r="AG32" i="23"/>
  <c r="N32" i="23"/>
  <c r="K32" i="23" s="1"/>
  <c r="M32" i="23"/>
  <c r="L32" i="23"/>
  <c r="J32" i="23"/>
  <c r="I32" i="23"/>
  <c r="BY31" i="23"/>
  <c r="BX31" i="23"/>
  <c r="BW31" i="23"/>
  <c r="BV31" i="23"/>
  <c r="BF31" i="23"/>
  <c r="AL31" i="23"/>
  <c r="AK31" i="23"/>
  <c r="AJ31" i="23"/>
  <c r="AH31" i="23"/>
  <c r="AG31" i="23"/>
  <c r="N31" i="23"/>
  <c r="K31" i="23" s="1"/>
  <c r="M31" i="23"/>
  <c r="L31" i="23"/>
  <c r="J31" i="23"/>
  <c r="I31" i="23"/>
  <c r="BY30" i="23"/>
  <c r="BX30" i="23"/>
  <c r="BW30" i="23"/>
  <c r="BV30" i="23"/>
  <c r="BT30" i="23"/>
  <c r="BS30" i="23"/>
  <c r="BR30" i="23"/>
  <c r="BQ30" i="23"/>
  <c r="BP30" i="23"/>
  <c r="BN30" i="23"/>
  <c r="BM30" i="23"/>
  <c r="BL30" i="23"/>
  <c r="BF30" i="23"/>
  <c r="AL30" i="23"/>
  <c r="BH30" i="23" s="1" a="1"/>
  <c r="BH30" i="23" s="1"/>
  <c r="BH42" i="23" s="1"/>
  <c r="AK30" i="23"/>
  <c r="AJ30" i="23"/>
  <c r="AH30" i="23"/>
  <c r="AG30" i="23"/>
  <c r="N30" i="23"/>
  <c r="BJ30" i="23" s="1"/>
  <c r="M30" i="23"/>
  <c r="L30" i="23"/>
  <c r="J30" i="23"/>
  <c r="J42" i="23" s="1"/>
  <c r="I30" i="23"/>
  <c r="CF29" i="23"/>
  <c r="CE29" i="23"/>
  <c r="CD29" i="23"/>
  <c r="BX29" i="23"/>
  <c r="BW29" i="23"/>
  <c r="BV29" i="23"/>
  <c r="BF29" i="23"/>
  <c r="AL29" i="23"/>
  <c r="AI29" i="23" s="1"/>
  <c r="AK29" i="23"/>
  <c r="AJ29" i="23"/>
  <c r="AH29" i="23"/>
  <c r="AG29" i="23"/>
  <c r="N29" i="23"/>
  <c r="M29" i="23"/>
  <c r="L29" i="23"/>
  <c r="K29" i="23"/>
  <c r="J29" i="23"/>
  <c r="I29" i="23"/>
  <c r="BX28" i="23"/>
  <c r="BW28" i="23"/>
  <c r="BV28" i="23"/>
  <c r="BF28" i="23"/>
  <c r="AL28" i="23"/>
  <c r="AI28" i="23" s="1"/>
  <c r="AK28" i="23"/>
  <c r="AJ28" i="23"/>
  <c r="AH28" i="23"/>
  <c r="AG28" i="23"/>
  <c r="N28" i="23"/>
  <c r="K28" i="23" s="1"/>
  <c r="M28" i="23"/>
  <c r="L28" i="23"/>
  <c r="J28" i="23"/>
  <c r="I28" i="23"/>
  <c r="BX27" i="23"/>
  <c r="BW27" i="23"/>
  <c r="BV27" i="23"/>
  <c r="BF27" i="23"/>
  <c r="AL27" i="23"/>
  <c r="AI27" i="23" s="1"/>
  <c r="AK27" i="23"/>
  <c r="AJ27" i="23"/>
  <c r="AH27" i="23"/>
  <c r="AG27" i="23"/>
  <c r="N27" i="23"/>
  <c r="K27" i="23" s="1"/>
  <c r="M27" i="23"/>
  <c r="L27" i="23"/>
  <c r="J27" i="23"/>
  <c r="I27" i="23"/>
  <c r="BX26" i="23"/>
  <c r="BW26" i="23"/>
  <c r="BV26" i="23"/>
  <c r="BF26" i="23"/>
  <c r="AL26" i="23"/>
  <c r="AI26" i="23" s="1"/>
  <c r="AK26" i="23"/>
  <c r="AJ26" i="23"/>
  <c r="AH26" i="23"/>
  <c r="AG26" i="23"/>
  <c r="N26" i="23"/>
  <c r="K26" i="23" s="1"/>
  <c r="M26" i="23"/>
  <c r="L26" i="23"/>
  <c r="J26" i="23"/>
  <c r="I26" i="23"/>
  <c r="BX25" i="23"/>
  <c r="BW25" i="23"/>
  <c r="BV25" i="23"/>
  <c r="BF25" i="23"/>
  <c r="AL25" i="23"/>
  <c r="AK25" i="23"/>
  <c r="AJ25" i="23"/>
  <c r="AH25" i="23"/>
  <c r="AG25" i="23"/>
  <c r="N25" i="23"/>
  <c r="K25" i="23" s="1"/>
  <c r="M25" i="23"/>
  <c r="M41" i="23" s="1"/>
  <c r="L25" i="23"/>
  <c r="J25" i="23"/>
  <c r="I25" i="23"/>
  <c r="CF24" i="23"/>
  <c r="CE24" i="23"/>
  <c r="CD24" i="23"/>
  <c r="BX24" i="23"/>
  <c r="BW24" i="23"/>
  <c r="BV24" i="23"/>
  <c r="BF24" i="23"/>
  <c r="AL24" i="23"/>
  <c r="AK24" i="23"/>
  <c r="AJ24" i="23"/>
  <c r="AH24" i="23"/>
  <c r="AG24" i="23"/>
  <c r="N24" i="23"/>
  <c r="M24" i="23"/>
  <c r="L24" i="23"/>
  <c r="K24" i="23"/>
  <c r="J24" i="23"/>
  <c r="I24" i="23"/>
  <c r="BX23" i="23"/>
  <c r="BW23" i="23"/>
  <c r="BV23" i="23"/>
  <c r="BF23" i="23"/>
  <c r="AL23" i="23"/>
  <c r="AI23" i="23" s="1"/>
  <c r="AK23" i="23"/>
  <c r="AJ23" i="23"/>
  <c r="AH23" i="23"/>
  <c r="AG23" i="23"/>
  <c r="N23" i="23"/>
  <c r="K23" i="23" s="1"/>
  <c r="M23" i="23"/>
  <c r="L23" i="23"/>
  <c r="J23" i="23"/>
  <c r="I23" i="23"/>
  <c r="BX22" i="23"/>
  <c r="BW22" i="23"/>
  <c r="BV22" i="23"/>
  <c r="BF22" i="23"/>
  <c r="AL22" i="23"/>
  <c r="BG22" i="23" s="1"/>
  <c r="AK22" i="23"/>
  <c r="AJ22" i="23"/>
  <c r="AH22" i="23"/>
  <c r="AG22" i="23"/>
  <c r="N22" i="23"/>
  <c r="K22" i="23" s="1"/>
  <c r="M22" i="23"/>
  <c r="L22" i="23"/>
  <c r="J22" i="23"/>
  <c r="I22" i="23"/>
  <c r="BX21" i="23"/>
  <c r="BW21" i="23"/>
  <c r="BV21" i="23"/>
  <c r="BF21" i="23"/>
  <c r="AL21" i="23"/>
  <c r="AI21" i="23" s="1"/>
  <c r="AK21" i="23"/>
  <c r="AJ21" i="23"/>
  <c r="AH21" i="23"/>
  <c r="AG21" i="23"/>
  <c r="N21" i="23"/>
  <c r="K21" i="23" s="1"/>
  <c r="M21" i="23"/>
  <c r="L21" i="23"/>
  <c r="J21" i="23"/>
  <c r="I21" i="23"/>
  <c r="BX20" i="23"/>
  <c r="BW20" i="23"/>
  <c r="BV20" i="23"/>
  <c r="BF20" i="23"/>
  <c r="AL20" i="23"/>
  <c r="AK20" i="23"/>
  <c r="AJ20" i="23"/>
  <c r="AH20" i="23"/>
  <c r="AG20" i="23"/>
  <c r="N20" i="23"/>
  <c r="M20" i="23"/>
  <c r="L20" i="23"/>
  <c r="J20" i="23"/>
  <c r="I20" i="23"/>
  <c r="CF19" i="23"/>
  <c r="CE19" i="23"/>
  <c r="CD19" i="23"/>
  <c r="BX19" i="23"/>
  <c r="BW19" i="23"/>
  <c r="BV19" i="23"/>
  <c r="BF19" i="23"/>
  <c r="AL19" i="23"/>
  <c r="AI19" i="23" s="1"/>
  <c r="AK19" i="23"/>
  <c r="AJ19" i="23"/>
  <c r="AH19" i="23"/>
  <c r="AG19" i="23"/>
  <c r="N19" i="23"/>
  <c r="K19" i="23" s="1"/>
  <c r="M19" i="23"/>
  <c r="L19" i="23"/>
  <c r="J19" i="23"/>
  <c r="I19" i="23"/>
  <c r="BX18" i="23"/>
  <c r="BW18" i="23"/>
  <c r="BV18" i="23"/>
  <c r="BF18" i="23"/>
  <c r="AL18" i="23"/>
  <c r="BG18" i="23" s="1"/>
  <c r="AK18" i="23"/>
  <c r="AJ18" i="23"/>
  <c r="AH18" i="23"/>
  <c r="AG18" i="23"/>
  <c r="N18" i="23"/>
  <c r="K18" i="23" s="1"/>
  <c r="M18" i="23"/>
  <c r="L18" i="23"/>
  <c r="J18" i="23"/>
  <c r="I18" i="23"/>
  <c r="BX17" i="23"/>
  <c r="BW17" i="23"/>
  <c r="BV17" i="23"/>
  <c r="BF17" i="23"/>
  <c r="AL17" i="23"/>
  <c r="AK17" i="23"/>
  <c r="AJ17" i="23"/>
  <c r="AH17" i="23"/>
  <c r="AG17" i="23"/>
  <c r="N17" i="23"/>
  <c r="K17" i="23" s="1"/>
  <c r="M17" i="23"/>
  <c r="L17" i="23"/>
  <c r="J17" i="23"/>
  <c r="I17" i="23"/>
  <c r="BX16" i="23"/>
  <c r="BW16" i="23"/>
  <c r="BV16" i="23"/>
  <c r="BF16" i="23"/>
  <c r="AL16" i="23"/>
  <c r="AI16" i="23" s="1"/>
  <c r="AK16" i="23"/>
  <c r="AJ16" i="23"/>
  <c r="AH16" i="23"/>
  <c r="AG16" i="23"/>
  <c r="N16" i="23"/>
  <c r="M16" i="23"/>
  <c r="L16" i="23"/>
  <c r="K16" i="23"/>
  <c r="J16" i="23"/>
  <c r="I16" i="23"/>
  <c r="BX15" i="23"/>
  <c r="BW15" i="23"/>
  <c r="BV15" i="23"/>
  <c r="BF15" i="23"/>
  <c r="AL15" i="23"/>
  <c r="AI15" i="23" s="1"/>
  <c r="AK15" i="23"/>
  <c r="AJ15" i="23"/>
  <c r="AH15" i="23"/>
  <c r="AG15" i="23"/>
  <c r="N15" i="23"/>
  <c r="M15" i="23"/>
  <c r="L15" i="23"/>
  <c r="J15" i="23"/>
  <c r="I15" i="23"/>
  <c r="CF14" i="23"/>
  <c r="CE14" i="23"/>
  <c r="CD14" i="23"/>
  <c r="BX14" i="23"/>
  <c r="BW14" i="23"/>
  <c r="BV14" i="23"/>
  <c r="BY14" i="23" s="1"/>
  <c r="BF14" i="23"/>
  <c r="AL14" i="23"/>
  <c r="BG14" i="23" s="1"/>
  <c r="AK14" i="23"/>
  <c r="AJ14" i="23"/>
  <c r="AH14" i="23"/>
  <c r="AG14" i="23"/>
  <c r="N14" i="23"/>
  <c r="K14" i="23" s="1"/>
  <c r="M14" i="23"/>
  <c r="L14" i="23"/>
  <c r="J14" i="23"/>
  <c r="I14" i="23"/>
  <c r="BX13" i="23"/>
  <c r="BW13" i="23"/>
  <c r="BV13" i="23"/>
  <c r="BF13" i="23"/>
  <c r="AL13" i="23"/>
  <c r="AI13" i="23" s="1"/>
  <c r="AK13" i="23"/>
  <c r="AJ13" i="23"/>
  <c r="AH13" i="23"/>
  <c r="AG13" i="23"/>
  <c r="N13" i="23"/>
  <c r="K13" i="23" s="1"/>
  <c r="M13" i="23"/>
  <c r="L13" i="23"/>
  <c r="J13" i="23"/>
  <c r="I13" i="23"/>
  <c r="BX12" i="23"/>
  <c r="BW12" i="23"/>
  <c r="BV12" i="23"/>
  <c r="BF12" i="23"/>
  <c r="AL12" i="23"/>
  <c r="AI12" i="23" s="1"/>
  <c r="AK12" i="23"/>
  <c r="AJ12" i="23"/>
  <c r="AH12" i="23"/>
  <c r="AG12" i="23"/>
  <c r="N12" i="23"/>
  <c r="K12" i="23" s="1"/>
  <c r="M12" i="23"/>
  <c r="L12" i="23"/>
  <c r="J12" i="23"/>
  <c r="I12" i="23"/>
  <c r="BX11" i="23"/>
  <c r="BW11" i="23"/>
  <c r="BV11" i="23"/>
  <c r="BF11" i="23"/>
  <c r="AL11" i="23"/>
  <c r="AK11" i="23"/>
  <c r="AJ11" i="23"/>
  <c r="AH11" i="23"/>
  <c r="AG11" i="23"/>
  <c r="N11" i="23"/>
  <c r="M11" i="23"/>
  <c r="L11" i="23"/>
  <c r="K11" i="23"/>
  <c r="J11" i="23"/>
  <c r="I11" i="23"/>
  <c r="BX10" i="23"/>
  <c r="BW10" i="23"/>
  <c r="BV10" i="23"/>
  <c r="BF10" i="23"/>
  <c r="AL10" i="23"/>
  <c r="AK10" i="23"/>
  <c r="AJ10" i="23"/>
  <c r="AH10" i="23"/>
  <c r="AG10" i="23"/>
  <c r="N10" i="23"/>
  <c r="M10" i="23"/>
  <c r="L10" i="23"/>
  <c r="K10" i="23"/>
  <c r="J10" i="23"/>
  <c r="I10" i="23"/>
  <c r="CF9" i="23"/>
  <c r="CE9" i="23"/>
  <c r="CD9" i="23"/>
  <c r="BX9" i="23"/>
  <c r="BW9" i="23"/>
  <c r="BV9" i="23"/>
  <c r="BF9" i="23"/>
  <c r="AL9" i="23"/>
  <c r="AI9" i="23" s="1"/>
  <c r="AK9" i="23"/>
  <c r="AJ9" i="23"/>
  <c r="AH9" i="23"/>
  <c r="AG9" i="23"/>
  <c r="N9" i="23"/>
  <c r="K9" i="23" s="1"/>
  <c r="M9" i="23"/>
  <c r="L9" i="23"/>
  <c r="J9" i="23"/>
  <c r="I9" i="23"/>
  <c r="BX8" i="23"/>
  <c r="BW8" i="23"/>
  <c r="BV8" i="23"/>
  <c r="BF8" i="23"/>
  <c r="AL8" i="23"/>
  <c r="AI8" i="23" s="1"/>
  <c r="AK8" i="23"/>
  <c r="AJ8" i="23"/>
  <c r="AH8" i="23"/>
  <c r="AG8" i="23"/>
  <c r="N8" i="23"/>
  <c r="M8" i="23"/>
  <c r="L8" i="23"/>
  <c r="K8" i="23"/>
  <c r="J8" i="23"/>
  <c r="I8" i="23"/>
  <c r="BX7" i="23"/>
  <c r="BW7" i="23"/>
  <c r="BV7" i="23"/>
  <c r="BY7" i="23" s="1"/>
  <c r="BF7" i="23"/>
  <c r="AL7" i="23"/>
  <c r="BG7" i="23" s="1"/>
  <c r="AK7" i="23"/>
  <c r="AJ7" i="23"/>
  <c r="AH7" i="23"/>
  <c r="AG7" i="23"/>
  <c r="N7" i="23"/>
  <c r="K7" i="23" s="1"/>
  <c r="M7" i="23"/>
  <c r="L7" i="23"/>
  <c r="J7" i="23"/>
  <c r="I7" i="23"/>
  <c r="BX6" i="23"/>
  <c r="BW6" i="23"/>
  <c r="BV6" i="23"/>
  <c r="BF6" i="23"/>
  <c r="AL6" i="23"/>
  <c r="AK6" i="23"/>
  <c r="AJ6" i="23"/>
  <c r="AH6" i="23"/>
  <c r="AG6" i="23"/>
  <c r="N6" i="23"/>
  <c r="K6" i="23" s="1"/>
  <c r="M6" i="23"/>
  <c r="L6" i="23"/>
  <c r="J6" i="23"/>
  <c r="I6" i="23"/>
  <c r="BX5" i="23"/>
  <c r="BW5" i="23"/>
  <c r="BV5" i="23"/>
  <c r="BF5" i="23"/>
  <c r="AL5" i="23"/>
  <c r="AI5" i="23" s="1"/>
  <c r="AK5" i="23"/>
  <c r="AJ5" i="23"/>
  <c r="AH5" i="23"/>
  <c r="AG5" i="23"/>
  <c r="N5" i="23"/>
  <c r="K5" i="23" s="1"/>
  <c r="M5" i="23"/>
  <c r="L5" i="23"/>
  <c r="J5" i="23"/>
  <c r="I5" i="23"/>
  <c r="AG1" i="23"/>
  <c r="I1" i="23"/>
  <c r="CD9" i="22"/>
  <c r="BC46" i="22"/>
  <c r="BB46" i="22"/>
  <c r="BA46" i="22"/>
  <c r="AZ46" i="22"/>
  <c r="AE46" i="22"/>
  <c r="AD46" i="22"/>
  <c r="AC46" i="22"/>
  <c r="AB46" i="22"/>
  <c r="BC44" i="22"/>
  <c r="BB44" i="22"/>
  <c r="BA44" i="22"/>
  <c r="AZ44" i="22"/>
  <c r="AE44" i="22"/>
  <c r="AD44" i="22"/>
  <c r="AC44" i="22"/>
  <c r="AB44" i="22"/>
  <c r="BX39" i="22"/>
  <c r="BW39" i="22"/>
  <c r="BV39" i="22"/>
  <c r="BY39" i="22" s="1"/>
  <c r="BF39" i="22"/>
  <c r="AL39" i="22"/>
  <c r="AK39" i="22"/>
  <c r="AJ39" i="22"/>
  <c r="AH39" i="22"/>
  <c r="AG39" i="22"/>
  <c r="N39" i="22"/>
  <c r="K39" i="22" s="1"/>
  <c r="M39" i="22"/>
  <c r="L39" i="22"/>
  <c r="J39" i="22"/>
  <c r="I39" i="22"/>
  <c r="BX38" i="22"/>
  <c r="BW38" i="22"/>
  <c r="BV38" i="22"/>
  <c r="BY38" i="22" s="1"/>
  <c r="BF38" i="22"/>
  <c r="AL38" i="22"/>
  <c r="AI38" i="22" s="1"/>
  <c r="AK38" i="22"/>
  <c r="AJ38" i="22"/>
  <c r="AH38" i="22"/>
  <c r="AG38" i="22"/>
  <c r="N38" i="22"/>
  <c r="K38" i="22" s="1"/>
  <c r="M38" i="22"/>
  <c r="L38" i="22"/>
  <c r="J38" i="22"/>
  <c r="I38" i="22"/>
  <c r="BX37" i="22"/>
  <c r="BW37" i="22"/>
  <c r="BV37" i="22"/>
  <c r="BY37" i="22" s="1"/>
  <c r="BF37" i="22"/>
  <c r="AL37" i="22"/>
  <c r="AI37" i="22" s="1"/>
  <c r="AK37" i="22"/>
  <c r="AJ37" i="22"/>
  <c r="AH37" i="22"/>
  <c r="AG37" i="22"/>
  <c r="N37" i="22"/>
  <c r="K37" i="22" s="1"/>
  <c r="M37" i="22"/>
  <c r="L37" i="22"/>
  <c r="J37" i="22"/>
  <c r="I37" i="22"/>
  <c r="BX36" i="22"/>
  <c r="BW36" i="22"/>
  <c r="BV36" i="22"/>
  <c r="BY36" i="22" s="1"/>
  <c r="BF36" i="22"/>
  <c r="AL36" i="22"/>
  <c r="AK36" i="22"/>
  <c r="AJ36" i="22"/>
  <c r="AH36" i="22"/>
  <c r="AG36" i="22"/>
  <c r="N36" i="22"/>
  <c r="K36" i="22" s="1"/>
  <c r="M36" i="22"/>
  <c r="L36" i="22"/>
  <c r="J36" i="22"/>
  <c r="I36" i="22"/>
  <c r="BX35" i="22"/>
  <c r="BW35" i="22"/>
  <c r="BV35" i="22"/>
  <c r="BY35" i="22" s="1"/>
  <c r="BT35" i="22"/>
  <c r="BS35" i="22"/>
  <c r="BR35" i="22"/>
  <c r="BQ35" i="22"/>
  <c r="BP35" i="22"/>
  <c r="BN35" i="22"/>
  <c r="BM35" i="22"/>
  <c r="BL35" i="22"/>
  <c r="BF35" i="22"/>
  <c r="AL35" i="22"/>
  <c r="AI35" i="22" s="1"/>
  <c r="AK35" i="22"/>
  <c r="AJ35" i="22"/>
  <c r="AH35" i="22"/>
  <c r="AG35" i="22"/>
  <c r="N35" i="22"/>
  <c r="K35" i="22" s="1"/>
  <c r="M35" i="22"/>
  <c r="L35" i="22"/>
  <c r="J35" i="22"/>
  <c r="I35" i="22"/>
  <c r="BX34" i="22"/>
  <c r="BW34" i="22"/>
  <c r="BV34" i="22"/>
  <c r="BY34" i="22" s="1"/>
  <c r="BF34" i="22"/>
  <c r="AL34" i="22"/>
  <c r="AI34" i="22" s="1"/>
  <c r="AK34" i="22"/>
  <c r="AJ34" i="22"/>
  <c r="AH34" i="22"/>
  <c r="AG34" i="22"/>
  <c r="N34" i="22"/>
  <c r="K34" i="22" s="1"/>
  <c r="M34" i="22"/>
  <c r="L34" i="22"/>
  <c r="J34" i="22"/>
  <c r="I34" i="22"/>
  <c r="BX33" i="22"/>
  <c r="BW33" i="22"/>
  <c r="BV33" i="22"/>
  <c r="BY33" i="22" s="1"/>
  <c r="BF33" i="22"/>
  <c r="AL33" i="22"/>
  <c r="AI33" i="22" s="1"/>
  <c r="AK33" i="22"/>
  <c r="AJ33" i="22"/>
  <c r="AH33" i="22"/>
  <c r="AG33" i="22"/>
  <c r="N33" i="22"/>
  <c r="M33" i="22"/>
  <c r="L33" i="22"/>
  <c r="J33" i="22"/>
  <c r="I33" i="22"/>
  <c r="BX32" i="22"/>
  <c r="BW32" i="22"/>
  <c r="BV32" i="22"/>
  <c r="BY32" i="22" s="1"/>
  <c r="BF32" i="22"/>
  <c r="AL32" i="22"/>
  <c r="AK32" i="22"/>
  <c r="AJ32" i="22"/>
  <c r="AH32" i="22"/>
  <c r="AG32" i="22"/>
  <c r="N32" i="22"/>
  <c r="K32" i="22" s="1"/>
  <c r="M32" i="22"/>
  <c r="L32" i="22"/>
  <c r="J32" i="22"/>
  <c r="I32" i="22"/>
  <c r="BX31" i="22"/>
  <c r="BW31" i="22"/>
  <c r="BV31" i="22"/>
  <c r="BY31" i="22" s="1"/>
  <c r="BF31" i="22"/>
  <c r="AL31" i="22"/>
  <c r="AK31" i="22"/>
  <c r="AJ31" i="22"/>
  <c r="AH31" i="22"/>
  <c r="AG31" i="22"/>
  <c r="N31" i="22"/>
  <c r="K31" i="22" s="1"/>
  <c r="M31" i="22"/>
  <c r="L31" i="22"/>
  <c r="J31" i="22"/>
  <c r="I31" i="22"/>
  <c r="BX30" i="22"/>
  <c r="BW30" i="22"/>
  <c r="BV30" i="22"/>
  <c r="BY30" i="22" s="1"/>
  <c r="BT30" i="22"/>
  <c r="BS30" i="22"/>
  <c r="BR30" i="22"/>
  <c r="BQ30" i="22"/>
  <c r="BP30" i="22"/>
  <c r="BN30" i="22"/>
  <c r="BM30" i="22"/>
  <c r="BL30" i="22"/>
  <c r="BF30" i="22"/>
  <c r="AL30" i="22"/>
  <c r="AK30" i="22"/>
  <c r="AJ30" i="22"/>
  <c r="AH30" i="22"/>
  <c r="AG30" i="22"/>
  <c r="N30" i="22"/>
  <c r="M30" i="22"/>
  <c r="L30" i="22"/>
  <c r="J30" i="22"/>
  <c r="I30" i="22"/>
  <c r="CF29" i="22"/>
  <c r="CE29" i="22"/>
  <c r="CD29" i="22"/>
  <c r="BX29" i="22"/>
  <c r="BW29" i="22"/>
  <c r="BV29" i="22"/>
  <c r="BF29" i="22"/>
  <c r="AL29" i="22"/>
  <c r="AI29" i="22" s="1"/>
  <c r="AK29" i="22"/>
  <c r="AJ29" i="22"/>
  <c r="AH29" i="22"/>
  <c r="AG29" i="22"/>
  <c r="N29" i="22"/>
  <c r="K29" i="22" s="1"/>
  <c r="M29" i="22"/>
  <c r="L29" i="22"/>
  <c r="J29" i="22"/>
  <c r="I29" i="22"/>
  <c r="BX28" i="22"/>
  <c r="BW28" i="22"/>
  <c r="BV28" i="22"/>
  <c r="BF28" i="22"/>
  <c r="AL28" i="22"/>
  <c r="AI28" i="22" s="1"/>
  <c r="AK28" i="22"/>
  <c r="AJ28" i="22"/>
  <c r="AH28" i="22"/>
  <c r="AG28" i="22"/>
  <c r="N28" i="22"/>
  <c r="M28" i="22"/>
  <c r="L28" i="22"/>
  <c r="J28" i="22"/>
  <c r="I28" i="22"/>
  <c r="BX27" i="22"/>
  <c r="BW27" i="22"/>
  <c r="BV27" i="22"/>
  <c r="BF27" i="22"/>
  <c r="AL27" i="22"/>
  <c r="AI27" i="22" s="1"/>
  <c r="AK27" i="22"/>
  <c r="AJ27" i="22"/>
  <c r="AH27" i="22"/>
  <c r="AG27" i="22"/>
  <c r="N27" i="22"/>
  <c r="K27" i="22" s="1"/>
  <c r="M27" i="22"/>
  <c r="L27" i="22"/>
  <c r="J27" i="22"/>
  <c r="I27" i="22"/>
  <c r="BX26" i="22"/>
  <c r="BW26" i="22"/>
  <c r="BV26" i="22"/>
  <c r="BF26" i="22"/>
  <c r="AL26" i="22"/>
  <c r="AK26" i="22"/>
  <c r="AJ26" i="22"/>
  <c r="AH26" i="22"/>
  <c r="AG26" i="22"/>
  <c r="N26" i="22"/>
  <c r="K26" i="22" s="1"/>
  <c r="M26" i="22"/>
  <c r="L26" i="22"/>
  <c r="J26" i="22"/>
  <c r="I26" i="22"/>
  <c r="BX25" i="22"/>
  <c r="BW25" i="22"/>
  <c r="BV25" i="22"/>
  <c r="BF25" i="22"/>
  <c r="AL25" i="22"/>
  <c r="AK25" i="22"/>
  <c r="AJ25" i="22"/>
  <c r="AH25" i="22"/>
  <c r="AG25" i="22"/>
  <c r="N25" i="22"/>
  <c r="M25" i="22"/>
  <c r="L25" i="22"/>
  <c r="J25" i="22"/>
  <c r="I25" i="22"/>
  <c r="CF24" i="22"/>
  <c r="CE24" i="22"/>
  <c r="CD24" i="22"/>
  <c r="BX24" i="22"/>
  <c r="BW24" i="22"/>
  <c r="BV24" i="22"/>
  <c r="BF24" i="22"/>
  <c r="AL24" i="22"/>
  <c r="AI24" i="22" s="1"/>
  <c r="AK24" i="22"/>
  <c r="AJ24" i="22"/>
  <c r="AH24" i="22"/>
  <c r="AG24" i="22"/>
  <c r="N24" i="22"/>
  <c r="K24" i="22" s="1"/>
  <c r="M24" i="22"/>
  <c r="L24" i="22"/>
  <c r="J24" i="22"/>
  <c r="I24" i="22"/>
  <c r="BX23" i="22"/>
  <c r="BW23" i="22"/>
  <c r="BV23" i="22"/>
  <c r="BF23" i="22"/>
  <c r="AL23" i="22"/>
  <c r="AK23" i="22"/>
  <c r="AJ23" i="22"/>
  <c r="AH23" i="22"/>
  <c r="AG23" i="22"/>
  <c r="N23" i="22"/>
  <c r="K23" i="22" s="1"/>
  <c r="M23" i="22"/>
  <c r="L23" i="22"/>
  <c r="J23" i="22"/>
  <c r="I23" i="22"/>
  <c r="BX22" i="22"/>
  <c r="BW22" i="22"/>
  <c r="BV22" i="22"/>
  <c r="BF22" i="22"/>
  <c r="AL22" i="22"/>
  <c r="AK22" i="22"/>
  <c r="AJ22" i="22"/>
  <c r="AH22" i="22"/>
  <c r="AG22" i="22"/>
  <c r="N22" i="22"/>
  <c r="K22" i="22" s="1"/>
  <c r="M22" i="22"/>
  <c r="L22" i="22"/>
  <c r="J22" i="22"/>
  <c r="I22" i="22"/>
  <c r="BX21" i="22"/>
  <c r="BW21" i="22"/>
  <c r="BV21" i="22"/>
  <c r="BF21" i="22"/>
  <c r="AL21" i="22"/>
  <c r="AK21" i="22"/>
  <c r="AJ21" i="22"/>
  <c r="AH21" i="22"/>
  <c r="AG21" i="22"/>
  <c r="N21" i="22"/>
  <c r="K21" i="22" s="1"/>
  <c r="M21" i="22"/>
  <c r="L21" i="22"/>
  <c r="J21" i="22"/>
  <c r="I21" i="22"/>
  <c r="BX20" i="22"/>
  <c r="BW20" i="22"/>
  <c r="BV20" i="22"/>
  <c r="BF20" i="22"/>
  <c r="AL20" i="22"/>
  <c r="AK20" i="22"/>
  <c r="AJ20" i="22"/>
  <c r="AH20" i="22"/>
  <c r="AG20" i="22"/>
  <c r="N20" i="22"/>
  <c r="M20" i="22"/>
  <c r="L20" i="22"/>
  <c r="J20" i="22"/>
  <c r="I20" i="22"/>
  <c r="CF19" i="22"/>
  <c r="CE19" i="22"/>
  <c r="CD19" i="22"/>
  <c r="BX19" i="22"/>
  <c r="BW19" i="22"/>
  <c r="BV19" i="22"/>
  <c r="BF19" i="22"/>
  <c r="AL19" i="22"/>
  <c r="AI19" i="22" s="1"/>
  <c r="AK19" i="22"/>
  <c r="AJ19" i="22"/>
  <c r="AH19" i="22"/>
  <c r="AG19" i="22"/>
  <c r="N19" i="22"/>
  <c r="K19" i="22" s="1"/>
  <c r="M19" i="22"/>
  <c r="L19" i="22"/>
  <c r="J19" i="22"/>
  <c r="I19" i="22"/>
  <c r="BX18" i="22"/>
  <c r="BW18" i="22"/>
  <c r="BV18" i="22"/>
  <c r="BF18" i="22"/>
  <c r="AL18" i="22"/>
  <c r="AK18" i="22"/>
  <c r="AJ18" i="22"/>
  <c r="AH18" i="22"/>
  <c r="AG18" i="22"/>
  <c r="N18" i="22"/>
  <c r="K18" i="22" s="1"/>
  <c r="M18" i="22"/>
  <c r="L18" i="22"/>
  <c r="J18" i="22"/>
  <c r="I18" i="22"/>
  <c r="BX17" i="22"/>
  <c r="BW17" i="22"/>
  <c r="BV17" i="22"/>
  <c r="BF17" i="22"/>
  <c r="AL17" i="22"/>
  <c r="AK17" i="22"/>
  <c r="AJ17" i="22"/>
  <c r="AH17" i="22"/>
  <c r="AG17" i="22"/>
  <c r="N17" i="22"/>
  <c r="K17" i="22" s="1"/>
  <c r="M17" i="22"/>
  <c r="L17" i="22"/>
  <c r="J17" i="22"/>
  <c r="I17" i="22"/>
  <c r="BX16" i="22"/>
  <c r="BW16" i="22"/>
  <c r="BV16" i="22"/>
  <c r="BF16" i="22"/>
  <c r="AL16" i="22"/>
  <c r="AK16" i="22"/>
  <c r="AJ16" i="22"/>
  <c r="AH16" i="22"/>
  <c r="AG16" i="22"/>
  <c r="N16" i="22"/>
  <c r="K16" i="22" s="1"/>
  <c r="M16" i="22"/>
  <c r="L16" i="22"/>
  <c r="J16" i="22"/>
  <c r="I16" i="22"/>
  <c r="BX15" i="22"/>
  <c r="BW15" i="22"/>
  <c r="BV15" i="22"/>
  <c r="BF15" i="22"/>
  <c r="AL15" i="22"/>
  <c r="AK15" i="22"/>
  <c r="AJ15" i="22"/>
  <c r="AH15" i="22"/>
  <c r="AG15" i="22"/>
  <c r="N15" i="22"/>
  <c r="M15" i="22"/>
  <c r="L15" i="22"/>
  <c r="J15" i="22"/>
  <c r="I15" i="22"/>
  <c r="CF14" i="22"/>
  <c r="CE14" i="22"/>
  <c r="CD14" i="22"/>
  <c r="BX14" i="22"/>
  <c r="BW14" i="22"/>
  <c r="BV14" i="22"/>
  <c r="BF14" i="22"/>
  <c r="AL14" i="22"/>
  <c r="AI14" i="22" s="1"/>
  <c r="AK14" i="22"/>
  <c r="AJ14" i="22"/>
  <c r="AH14" i="22"/>
  <c r="AG14" i="22"/>
  <c r="N14" i="22"/>
  <c r="K14" i="22" s="1"/>
  <c r="M14" i="22"/>
  <c r="L14" i="22"/>
  <c r="J14" i="22"/>
  <c r="I14" i="22"/>
  <c r="BX13" i="22"/>
  <c r="BW13" i="22"/>
  <c r="BV13" i="22"/>
  <c r="BF13" i="22"/>
  <c r="AL13" i="22"/>
  <c r="AK13" i="22"/>
  <c r="AJ13" i="22"/>
  <c r="AH13" i="22"/>
  <c r="AG13" i="22"/>
  <c r="N13" i="22"/>
  <c r="K13" i="22" s="1"/>
  <c r="M13" i="22"/>
  <c r="L13" i="22"/>
  <c r="J13" i="22"/>
  <c r="I13" i="22"/>
  <c r="BX12" i="22"/>
  <c r="BW12" i="22"/>
  <c r="BV12" i="22"/>
  <c r="BF12" i="22"/>
  <c r="AL12" i="22"/>
  <c r="AK12" i="22"/>
  <c r="AJ12" i="22"/>
  <c r="AH12" i="22"/>
  <c r="AG12" i="22"/>
  <c r="N12" i="22"/>
  <c r="K12" i="22" s="1"/>
  <c r="M12" i="22"/>
  <c r="L12" i="22"/>
  <c r="J12" i="22"/>
  <c r="I12" i="22"/>
  <c r="BX11" i="22"/>
  <c r="BW11" i="22"/>
  <c r="BV11" i="22"/>
  <c r="BF11" i="22"/>
  <c r="AL11" i="22"/>
  <c r="AK11" i="22"/>
  <c r="AJ11" i="22"/>
  <c r="AH11" i="22"/>
  <c r="AG11" i="22"/>
  <c r="N11" i="22"/>
  <c r="K11" i="22" s="1"/>
  <c r="M11" i="22"/>
  <c r="L11" i="22"/>
  <c r="J11" i="22"/>
  <c r="I11" i="22"/>
  <c r="BX10" i="22"/>
  <c r="BW10" i="22"/>
  <c r="BV10" i="22"/>
  <c r="BF10" i="22"/>
  <c r="AL10" i="22"/>
  <c r="AK10" i="22"/>
  <c r="AJ10" i="22"/>
  <c r="AH10" i="22"/>
  <c r="AG10" i="22"/>
  <c r="N10" i="22"/>
  <c r="M10" i="22"/>
  <c r="L10" i="22"/>
  <c r="J10" i="22"/>
  <c r="I10" i="22"/>
  <c r="CF9" i="22"/>
  <c r="CE9" i="22"/>
  <c r="BX9" i="22"/>
  <c r="BW9" i="22"/>
  <c r="BV9" i="22"/>
  <c r="BF9" i="22"/>
  <c r="AL9" i="22"/>
  <c r="AI9" i="22" s="1"/>
  <c r="AK9" i="22"/>
  <c r="AJ9" i="22"/>
  <c r="AH9" i="22"/>
  <c r="AG9" i="22"/>
  <c r="N9" i="22"/>
  <c r="K9" i="22" s="1"/>
  <c r="M9" i="22"/>
  <c r="L9" i="22"/>
  <c r="J9" i="22"/>
  <c r="I9" i="22"/>
  <c r="BX8" i="22"/>
  <c r="BW8" i="22"/>
  <c r="BV8" i="22"/>
  <c r="BF8" i="22"/>
  <c r="AL8" i="22"/>
  <c r="AK8" i="22"/>
  <c r="AJ8" i="22"/>
  <c r="AH8" i="22"/>
  <c r="AG8" i="22"/>
  <c r="N8" i="22"/>
  <c r="K8" i="22" s="1"/>
  <c r="M8" i="22"/>
  <c r="L8" i="22"/>
  <c r="J8" i="22"/>
  <c r="I8" i="22"/>
  <c r="BX7" i="22"/>
  <c r="BW7" i="22"/>
  <c r="BV7" i="22"/>
  <c r="BY7" i="22" s="1"/>
  <c r="BF7" i="22"/>
  <c r="AL7" i="22"/>
  <c r="AK7" i="22"/>
  <c r="AJ7" i="22"/>
  <c r="AH7" i="22"/>
  <c r="AG7" i="22"/>
  <c r="N7" i="22"/>
  <c r="K7" i="22" s="1"/>
  <c r="M7" i="22"/>
  <c r="L7" i="22"/>
  <c r="J7" i="22"/>
  <c r="I7" i="22"/>
  <c r="BX6" i="22"/>
  <c r="BW6" i="22"/>
  <c r="BV6" i="22"/>
  <c r="BF6" i="22"/>
  <c r="AL6" i="22"/>
  <c r="AK6" i="22"/>
  <c r="AJ6" i="22"/>
  <c r="AH6" i="22"/>
  <c r="AG6" i="22"/>
  <c r="N6" i="22"/>
  <c r="K6" i="22" s="1"/>
  <c r="M6" i="22"/>
  <c r="L6" i="22"/>
  <c r="J6" i="22"/>
  <c r="I6" i="22"/>
  <c r="BX5" i="22"/>
  <c r="BW5" i="22"/>
  <c r="BV5" i="22"/>
  <c r="BF5" i="22"/>
  <c r="AL5" i="22"/>
  <c r="AI5" i="22" s="1"/>
  <c r="AK5" i="22"/>
  <c r="AJ5" i="22"/>
  <c r="AH5" i="22"/>
  <c r="AG5" i="22"/>
  <c r="N5" i="22"/>
  <c r="M5" i="22"/>
  <c r="L5" i="22"/>
  <c r="J5" i="22"/>
  <c r="I5" i="22"/>
  <c r="AG1" i="22"/>
  <c r="I1" i="22"/>
  <c r="BC46" i="18"/>
  <c r="BB46" i="18"/>
  <c r="BA46" i="18"/>
  <c r="AZ46" i="18"/>
  <c r="AE46" i="18"/>
  <c r="AD46" i="18"/>
  <c r="AC46" i="18"/>
  <c r="AB46" i="18"/>
  <c r="BC44" i="18"/>
  <c r="BB44" i="18"/>
  <c r="BA44" i="18"/>
  <c r="AZ44" i="18"/>
  <c r="AE44" i="18"/>
  <c r="AD44" i="18"/>
  <c r="AC44" i="18"/>
  <c r="AB44" i="18"/>
  <c r="BX39" i="18"/>
  <c r="BW39" i="18"/>
  <c r="BV39" i="18"/>
  <c r="BY39" i="18" s="1"/>
  <c r="BF39" i="18"/>
  <c r="AL39" i="18"/>
  <c r="AK39" i="18"/>
  <c r="AJ39" i="18"/>
  <c r="AH39" i="18"/>
  <c r="AG39" i="18"/>
  <c r="N39" i="18"/>
  <c r="K39" i="18" s="1"/>
  <c r="M39" i="18"/>
  <c r="L39" i="18"/>
  <c r="J39" i="18"/>
  <c r="I39" i="18"/>
  <c r="BX38" i="18"/>
  <c r="BW38" i="18"/>
  <c r="BV38" i="18"/>
  <c r="BY38" i="18" s="1"/>
  <c r="BF38" i="18"/>
  <c r="AL38" i="18"/>
  <c r="BG38" i="18" s="1"/>
  <c r="AK38" i="18"/>
  <c r="AJ38" i="18"/>
  <c r="AH38" i="18"/>
  <c r="AG38" i="18"/>
  <c r="N38" i="18"/>
  <c r="K38" i="18" s="1"/>
  <c r="M38" i="18"/>
  <c r="L38" i="18"/>
  <c r="J38" i="18"/>
  <c r="I38" i="18"/>
  <c r="BX37" i="18"/>
  <c r="BW37" i="18"/>
  <c r="BV37" i="18"/>
  <c r="BY37" i="18" s="1"/>
  <c r="BF37" i="18"/>
  <c r="AL37" i="18"/>
  <c r="AI37" i="18" s="1"/>
  <c r="AK37" i="18"/>
  <c r="AJ37" i="18"/>
  <c r="AH37" i="18"/>
  <c r="AG37" i="18"/>
  <c r="N37" i="18"/>
  <c r="K37" i="18" s="1"/>
  <c r="M37" i="18"/>
  <c r="L37" i="18"/>
  <c r="J37" i="18"/>
  <c r="I37" i="18"/>
  <c r="BX36" i="18"/>
  <c r="BW36" i="18"/>
  <c r="BV36" i="18"/>
  <c r="BY36" i="18" s="1"/>
  <c r="BF36" i="18"/>
  <c r="AL36" i="18"/>
  <c r="AI36" i="18" s="1"/>
  <c r="AK36" i="18"/>
  <c r="AJ36" i="18"/>
  <c r="AH36" i="18"/>
  <c r="AG36" i="18"/>
  <c r="N36" i="18"/>
  <c r="K36" i="18" s="1"/>
  <c r="M36" i="18"/>
  <c r="L36" i="18"/>
  <c r="J36" i="18"/>
  <c r="I36" i="18"/>
  <c r="BX35" i="18"/>
  <c r="BW35" i="18"/>
  <c r="BV35" i="18"/>
  <c r="BY35" i="18" s="1"/>
  <c r="BT35" i="18"/>
  <c r="BS35" i="18"/>
  <c r="BR35" i="18"/>
  <c r="BQ35" i="18"/>
  <c r="BP35" i="18"/>
  <c r="BN35" i="18"/>
  <c r="BM35" i="18"/>
  <c r="BL35" i="18"/>
  <c r="BF35" i="18"/>
  <c r="AL35" i="18"/>
  <c r="AK35" i="18"/>
  <c r="AJ35" i="18"/>
  <c r="AH35" i="18"/>
  <c r="AG35" i="18"/>
  <c r="N35" i="18"/>
  <c r="M35" i="18"/>
  <c r="L35" i="18"/>
  <c r="J35" i="18"/>
  <c r="I35" i="18"/>
  <c r="BX34" i="18"/>
  <c r="BW34" i="18"/>
  <c r="BV34" i="18"/>
  <c r="BY34" i="18" s="1"/>
  <c r="BF34" i="18"/>
  <c r="AL34" i="18"/>
  <c r="BG34" i="18" s="1"/>
  <c r="AK34" i="18"/>
  <c r="AJ34" i="18"/>
  <c r="AH34" i="18"/>
  <c r="AG34" i="18"/>
  <c r="N34" i="18"/>
  <c r="K34" i="18" s="1"/>
  <c r="M34" i="18"/>
  <c r="L34" i="18"/>
  <c r="J34" i="18"/>
  <c r="I34" i="18"/>
  <c r="BX33" i="18"/>
  <c r="BW33" i="18"/>
  <c r="BV33" i="18"/>
  <c r="BY33" i="18" s="1"/>
  <c r="BF33" i="18"/>
  <c r="AL33" i="18"/>
  <c r="BG33" i="18" s="1"/>
  <c r="AK33" i="18"/>
  <c r="AJ33" i="18"/>
  <c r="AH33" i="18"/>
  <c r="AG33" i="18"/>
  <c r="N33" i="18"/>
  <c r="K33" i="18" s="1"/>
  <c r="M33" i="18"/>
  <c r="L33" i="18"/>
  <c r="J33" i="18"/>
  <c r="I33" i="18"/>
  <c r="BX32" i="18"/>
  <c r="BW32" i="18"/>
  <c r="BV32" i="18"/>
  <c r="BY32" i="18" s="1"/>
  <c r="BF32" i="18"/>
  <c r="AL32" i="18"/>
  <c r="AI32" i="18" s="1"/>
  <c r="AK32" i="18"/>
  <c r="AJ32" i="18"/>
  <c r="AH32" i="18"/>
  <c r="AG32" i="18"/>
  <c r="N32" i="18"/>
  <c r="K32" i="18" s="1"/>
  <c r="M32" i="18"/>
  <c r="L32" i="18"/>
  <c r="J32" i="18"/>
  <c r="I32" i="18"/>
  <c r="BX31" i="18"/>
  <c r="BW31" i="18"/>
  <c r="BV31" i="18"/>
  <c r="BY31" i="18" s="1"/>
  <c r="BF31" i="18"/>
  <c r="AL31" i="18"/>
  <c r="AI31" i="18" s="1"/>
  <c r="AK31" i="18"/>
  <c r="AJ31" i="18"/>
  <c r="AH31" i="18"/>
  <c r="AG31" i="18"/>
  <c r="N31" i="18"/>
  <c r="K31" i="18" s="1"/>
  <c r="M31" i="18"/>
  <c r="L31" i="18"/>
  <c r="J31" i="18"/>
  <c r="I31" i="18"/>
  <c r="BX30" i="18"/>
  <c r="BW30" i="18"/>
  <c r="BV30" i="18"/>
  <c r="BY30" i="18" s="1"/>
  <c r="BT30" i="18"/>
  <c r="BS30" i="18"/>
  <c r="BR30" i="18"/>
  <c r="BQ30" i="18"/>
  <c r="BP30" i="18"/>
  <c r="BN30" i="18"/>
  <c r="BM30" i="18"/>
  <c r="BL30" i="18"/>
  <c r="BF30" i="18"/>
  <c r="AL30" i="18"/>
  <c r="BH30" i="18" s="1" a="1"/>
  <c r="BH30" i="18" s="1"/>
  <c r="BH42" i="18" s="1"/>
  <c r="AK30" i="18"/>
  <c r="AJ30" i="18"/>
  <c r="AH30" i="18"/>
  <c r="AG30" i="18"/>
  <c r="N30" i="18"/>
  <c r="M30" i="18"/>
  <c r="L30" i="18"/>
  <c r="J30" i="18"/>
  <c r="I30" i="18"/>
  <c r="CF29" i="18"/>
  <c r="CE29" i="18"/>
  <c r="CD29" i="18"/>
  <c r="BX29" i="18"/>
  <c r="BW29" i="18"/>
  <c r="BV29" i="18"/>
  <c r="BF29" i="18"/>
  <c r="AL29" i="18"/>
  <c r="AK29" i="18"/>
  <c r="AJ29" i="18"/>
  <c r="AH29" i="18"/>
  <c r="AG29" i="18"/>
  <c r="N29" i="18"/>
  <c r="K29" i="18" s="1"/>
  <c r="M29" i="18"/>
  <c r="L29" i="18"/>
  <c r="J29" i="18"/>
  <c r="I29" i="18"/>
  <c r="BX28" i="18"/>
  <c r="BW28" i="18"/>
  <c r="BV28" i="18"/>
  <c r="BF28" i="18"/>
  <c r="AL28" i="18"/>
  <c r="BG28" i="18" s="1"/>
  <c r="AK28" i="18"/>
  <c r="AJ28" i="18"/>
  <c r="AH28" i="18"/>
  <c r="AG28" i="18"/>
  <c r="N28" i="18"/>
  <c r="K28" i="18" s="1"/>
  <c r="M28" i="18"/>
  <c r="L28" i="18"/>
  <c r="J28" i="18"/>
  <c r="I28" i="18"/>
  <c r="BX27" i="18"/>
  <c r="BW27" i="18"/>
  <c r="BV27" i="18"/>
  <c r="BF27" i="18"/>
  <c r="AL27" i="18"/>
  <c r="AI27" i="18" s="1"/>
  <c r="AK27" i="18"/>
  <c r="AJ27" i="18"/>
  <c r="AH27" i="18"/>
  <c r="AG27" i="18"/>
  <c r="N27" i="18"/>
  <c r="K27" i="18" s="1"/>
  <c r="M27" i="18"/>
  <c r="L27" i="18"/>
  <c r="J27" i="18"/>
  <c r="I27" i="18"/>
  <c r="BX26" i="18"/>
  <c r="BW26" i="18"/>
  <c r="BV26" i="18"/>
  <c r="BF26" i="18"/>
  <c r="AL26" i="18"/>
  <c r="AI26" i="18" s="1"/>
  <c r="AK26" i="18"/>
  <c r="AJ26" i="18"/>
  <c r="AH26" i="18"/>
  <c r="AG26" i="18"/>
  <c r="N26" i="18"/>
  <c r="K26" i="18" s="1"/>
  <c r="M26" i="18"/>
  <c r="L26" i="18"/>
  <c r="J26" i="18"/>
  <c r="I26" i="18"/>
  <c r="BX25" i="18"/>
  <c r="BW25" i="18"/>
  <c r="BV25" i="18"/>
  <c r="BF25" i="18"/>
  <c r="AL25" i="18"/>
  <c r="AI25" i="18" s="1"/>
  <c r="AK25" i="18"/>
  <c r="AJ25" i="18"/>
  <c r="AH25" i="18"/>
  <c r="AG25" i="18"/>
  <c r="N25" i="18"/>
  <c r="M25" i="18"/>
  <c r="L25" i="18"/>
  <c r="J25" i="18"/>
  <c r="I25" i="18"/>
  <c r="CF24" i="18"/>
  <c r="CE24" i="18"/>
  <c r="CD24" i="18"/>
  <c r="BX24" i="18"/>
  <c r="BW24" i="18"/>
  <c r="BV24" i="18"/>
  <c r="BF24" i="18"/>
  <c r="AL24" i="18"/>
  <c r="AK24" i="18"/>
  <c r="AJ24" i="18"/>
  <c r="AH24" i="18"/>
  <c r="AG24" i="18"/>
  <c r="N24" i="18"/>
  <c r="K24" i="18" s="1"/>
  <c r="M24" i="18"/>
  <c r="L24" i="18"/>
  <c r="J24" i="18"/>
  <c r="I24" i="18"/>
  <c r="BX23" i="18"/>
  <c r="BW23" i="18"/>
  <c r="BV23" i="18"/>
  <c r="BF23" i="18"/>
  <c r="AL23" i="18"/>
  <c r="AK23" i="18"/>
  <c r="AJ23" i="18"/>
  <c r="AH23" i="18"/>
  <c r="AG23" i="18"/>
  <c r="N23" i="18"/>
  <c r="K23" i="18" s="1"/>
  <c r="M23" i="18"/>
  <c r="L23" i="18"/>
  <c r="J23" i="18"/>
  <c r="I23" i="18"/>
  <c r="BX22" i="18"/>
  <c r="BW22" i="18"/>
  <c r="BV22" i="18"/>
  <c r="BF22" i="18"/>
  <c r="AL22" i="18"/>
  <c r="AI22" i="18" s="1"/>
  <c r="AK22" i="18"/>
  <c r="AJ22" i="18"/>
  <c r="AH22" i="18"/>
  <c r="AG22" i="18"/>
  <c r="N22" i="18"/>
  <c r="K22" i="18" s="1"/>
  <c r="M22" i="18"/>
  <c r="L22" i="18"/>
  <c r="J22" i="18"/>
  <c r="I22" i="18"/>
  <c r="BX21" i="18"/>
  <c r="BW21" i="18"/>
  <c r="BV21" i="18"/>
  <c r="BF21" i="18"/>
  <c r="AL21" i="18"/>
  <c r="AI21" i="18" s="1"/>
  <c r="AK21" i="18"/>
  <c r="AJ21" i="18"/>
  <c r="AH21" i="18"/>
  <c r="AG21" i="18"/>
  <c r="N21" i="18"/>
  <c r="K21" i="18" s="1"/>
  <c r="M21" i="18"/>
  <c r="L21" i="18"/>
  <c r="J21" i="18"/>
  <c r="I21" i="18"/>
  <c r="BX20" i="18"/>
  <c r="BW20" i="18"/>
  <c r="BV20" i="18"/>
  <c r="BF20" i="18"/>
  <c r="AL20" i="18"/>
  <c r="AI20" i="18" s="1"/>
  <c r="AK20" i="18"/>
  <c r="AJ20" i="18"/>
  <c r="AH20" i="18"/>
  <c r="AG20" i="18"/>
  <c r="N20" i="18"/>
  <c r="M20" i="18"/>
  <c r="L20" i="18"/>
  <c r="J20" i="18"/>
  <c r="I20" i="18"/>
  <c r="CF19" i="18"/>
  <c r="CE19" i="18"/>
  <c r="CD19" i="18"/>
  <c r="BX19" i="18"/>
  <c r="BW19" i="18"/>
  <c r="BV19" i="18"/>
  <c r="BF19" i="18"/>
  <c r="AL19" i="18"/>
  <c r="AI19" i="18" s="1"/>
  <c r="AK19" i="18"/>
  <c r="AJ19" i="18"/>
  <c r="AH19" i="18"/>
  <c r="AG19" i="18"/>
  <c r="N19" i="18"/>
  <c r="K19" i="18" s="1"/>
  <c r="M19" i="18"/>
  <c r="L19" i="18"/>
  <c r="J19" i="18"/>
  <c r="I19" i="18"/>
  <c r="BX18" i="18"/>
  <c r="BW18" i="18"/>
  <c r="BV18" i="18"/>
  <c r="BF18" i="18"/>
  <c r="AL18" i="18"/>
  <c r="AK18" i="18"/>
  <c r="AJ18" i="18"/>
  <c r="AH18" i="18"/>
  <c r="AG18" i="18"/>
  <c r="N18" i="18"/>
  <c r="K18" i="18" s="1"/>
  <c r="M18" i="18"/>
  <c r="L18" i="18"/>
  <c r="J18" i="18"/>
  <c r="I18" i="18"/>
  <c r="BX17" i="18"/>
  <c r="BW17" i="18"/>
  <c r="BV17" i="18"/>
  <c r="BF17" i="18"/>
  <c r="AL17" i="18"/>
  <c r="AI17" i="18" s="1"/>
  <c r="AK17" i="18"/>
  <c r="AJ17" i="18"/>
  <c r="AH17" i="18"/>
  <c r="AG17" i="18"/>
  <c r="N17" i="18"/>
  <c r="K17" i="18" s="1"/>
  <c r="M17" i="18"/>
  <c r="L17" i="18"/>
  <c r="J17" i="18"/>
  <c r="I17" i="18"/>
  <c r="BX16" i="18"/>
  <c r="BW16" i="18"/>
  <c r="BV16" i="18"/>
  <c r="BF16" i="18"/>
  <c r="AL16" i="18"/>
  <c r="AI16" i="18" s="1"/>
  <c r="AK16" i="18"/>
  <c r="AJ16" i="18"/>
  <c r="AH16" i="18"/>
  <c r="AG16" i="18"/>
  <c r="N16" i="18"/>
  <c r="K16" i="18" s="1"/>
  <c r="M16" i="18"/>
  <c r="L16" i="18"/>
  <c r="J16" i="18"/>
  <c r="I16" i="18"/>
  <c r="BX15" i="18"/>
  <c r="BW15" i="18"/>
  <c r="BV15" i="18"/>
  <c r="BF15" i="18"/>
  <c r="AL15" i="18"/>
  <c r="AI15" i="18" s="1"/>
  <c r="AK15" i="18"/>
  <c r="AJ15" i="18"/>
  <c r="AH15" i="18"/>
  <c r="AG15" i="18"/>
  <c r="N15" i="18"/>
  <c r="M15" i="18"/>
  <c r="L15" i="18"/>
  <c r="J15" i="18"/>
  <c r="I15" i="18"/>
  <c r="CF14" i="18"/>
  <c r="CE14" i="18"/>
  <c r="CD14" i="18"/>
  <c r="BX14" i="18"/>
  <c r="BW14" i="18"/>
  <c r="BV14" i="18"/>
  <c r="BF14" i="18"/>
  <c r="AL14" i="18"/>
  <c r="AK14" i="18"/>
  <c r="AJ14" i="18"/>
  <c r="AH14" i="18"/>
  <c r="AG14" i="18"/>
  <c r="N14" i="18"/>
  <c r="K14" i="18" s="1"/>
  <c r="M14" i="18"/>
  <c r="L14" i="18"/>
  <c r="J14" i="18"/>
  <c r="I14" i="18"/>
  <c r="BX13" i="18"/>
  <c r="BW13" i="18"/>
  <c r="BV13" i="18"/>
  <c r="BF13" i="18"/>
  <c r="AL13" i="18"/>
  <c r="AK13" i="18"/>
  <c r="AJ13" i="18"/>
  <c r="AH13" i="18"/>
  <c r="AG13" i="18"/>
  <c r="N13" i="18"/>
  <c r="K13" i="18" s="1"/>
  <c r="M13" i="18"/>
  <c r="L13" i="18"/>
  <c r="J13" i="18"/>
  <c r="I13" i="18"/>
  <c r="BX12" i="18"/>
  <c r="BW12" i="18"/>
  <c r="BV12" i="18"/>
  <c r="BF12" i="18"/>
  <c r="AL12" i="18"/>
  <c r="AI12" i="18" s="1"/>
  <c r="AK12" i="18"/>
  <c r="AJ12" i="18"/>
  <c r="AH12" i="18"/>
  <c r="AG12" i="18"/>
  <c r="N12" i="18"/>
  <c r="K12" i="18" s="1"/>
  <c r="M12" i="18"/>
  <c r="L12" i="18"/>
  <c r="J12" i="18"/>
  <c r="I12" i="18"/>
  <c r="BX11" i="18"/>
  <c r="BW11" i="18"/>
  <c r="BV11" i="18"/>
  <c r="BF11" i="18"/>
  <c r="AL11" i="18"/>
  <c r="AI11" i="18" s="1"/>
  <c r="AK11" i="18"/>
  <c r="AJ11" i="18"/>
  <c r="AH11" i="18"/>
  <c r="AG11" i="18"/>
  <c r="N11" i="18"/>
  <c r="K11" i="18" s="1"/>
  <c r="M11" i="18"/>
  <c r="L11" i="18"/>
  <c r="J11" i="18"/>
  <c r="I11" i="18"/>
  <c r="BX10" i="18"/>
  <c r="BW10" i="18"/>
  <c r="BV10" i="18"/>
  <c r="BF10" i="18"/>
  <c r="AL10" i="18"/>
  <c r="AI10" i="18" s="1"/>
  <c r="AK10" i="18"/>
  <c r="AJ10" i="18"/>
  <c r="AH10" i="18"/>
  <c r="AG10" i="18"/>
  <c r="N10" i="18"/>
  <c r="M10" i="18"/>
  <c r="L10" i="18"/>
  <c r="J10" i="18"/>
  <c r="I10" i="18"/>
  <c r="CF9" i="18"/>
  <c r="CE9" i="18"/>
  <c r="CD9" i="18"/>
  <c r="BX9" i="18"/>
  <c r="BW9" i="18"/>
  <c r="BV9" i="18"/>
  <c r="BF9" i="18"/>
  <c r="AL9" i="18"/>
  <c r="AK9" i="18"/>
  <c r="AJ9" i="18"/>
  <c r="AH9" i="18"/>
  <c r="AG9" i="18"/>
  <c r="N9" i="18"/>
  <c r="K9" i="18" s="1"/>
  <c r="M9" i="18"/>
  <c r="L9" i="18"/>
  <c r="J9" i="18"/>
  <c r="I9" i="18"/>
  <c r="BX8" i="18"/>
  <c r="BW8" i="18"/>
  <c r="BV8" i="18"/>
  <c r="BF8" i="18"/>
  <c r="AL8" i="18"/>
  <c r="AK8" i="18"/>
  <c r="AJ8" i="18"/>
  <c r="AH8" i="18"/>
  <c r="AG8" i="18"/>
  <c r="N8" i="18"/>
  <c r="K8" i="18" s="1"/>
  <c r="M8" i="18"/>
  <c r="L8" i="18"/>
  <c r="J8" i="18"/>
  <c r="I8" i="18"/>
  <c r="BX7" i="18"/>
  <c r="BW7" i="18"/>
  <c r="BV7" i="18"/>
  <c r="BF7" i="18"/>
  <c r="AL7" i="18"/>
  <c r="AI7" i="18" s="1"/>
  <c r="AK7" i="18"/>
  <c r="AJ7" i="18"/>
  <c r="AH7" i="18"/>
  <c r="AG7" i="18"/>
  <c r="N7" i="18"/>
  <c r="K7" i="18" s="1"/>
  <c r="M7" i="18"/>
  <c r="L7" i="18"/>
  <c r="J7" i="18"/>
  <c r="I7" i="18"/>
  <c r="BX6" i="18"/>
  <c r="BW6" i="18"/>
  <c r="BV6" i="18"/>
  <c r="BF6" i="18"/>
  <c r="AL6" i="18"/>
  <c r="AI6" i="18" s="1"/>
  <c r="AK6" i="18"/>
  <c r="AJ6" i="18"/>
  <c r="AH6" i="18"/>
  <c r="AG6" i="18"/>
  <c r="N6" i="18"/>
  <c r="K6" i="18" s="1"/>
  <c r="M6" i="18"/>
  <c r="L6" i="18"/>
  <c r="J6" i="18"/>
  <c r="I6" i="18"/>
  <c r="BX5" i="18"/>
  <c r="BW5" i="18"/>
  <c r="BV5" i="18"/>
  <c r="BF5" i="18"/>
  <c r="AL5" i="18"/>
  <c r="AI5" i="18" s="1"/>
  <c r="AK5" i="18"/>
  <c r="AJ5" i="18"/>
  <c r="AH5" i="18"/>
  <c r="AG5" i="18"/>
  <c r="N5" i="18"/>
  <c r="M5" i="18"/>
  <c r="L5" i="18"/>
  <c r="J5" i="18"/>
  <c r="I5" i="18"/>
  <c r="AG1" i="18"/>
  <c r="I1" i="18"/>
  <c r="BQ25" i="26"/>
  <c r="BS20" i="26"/>
  <c r="BP25" i="26"/>
  <c r="BR20" i="26"/>
  <c r="BT15" i="26"/>
  <c r="BN25" i="26"/>
  <c r="BQ20" i="26"/>
  <c r="BS15" i="26"/>
  <c r="BM25" i="26"/>
  <c r="BP20" i="26"/>
  <c r="BR15" i="26"/>
  <c r="BT10" i="26"/>
  <c r="BL25" i="26"/>
  <c r="BN20" i="26"/>
  <c r="BQ15" i="26"/>
  <c r="BS10" i="26"/>
  <c r="BM10" i="26"/>
  <c r="BN5" i="26"/>
  <c r="BM20" i="26"/>
  <c r="BP15" i="26"/>
  <c r="BR10" i="26"/>
  <c r="BT5" i="26"/>
  <c r="BP5" i="26"/>
  <c r="BT20" i="26"/>
  <c r="BL20" i="26"/>
  <c r="BN15" i="26"/>
  <c r="BQ10" i="26"/>
  <c r="BS5" i="26"/>
  <c r="BK15" i="26"/>
  <c r="BR25" i="26"/>
  <c r="BM15" i="26"/>
  <c r="BP10" i="26"/>
  <c r="BR5" i="26"/>
  <c r="BL15" i="26"/>
  <c r="BN10" i="26"/>
  <c r="BQ5" i="26"/>
  <c r="BJ15" i="26"/>
  <c r="BL10" i="26"/>
  <c r="BK10" i="26"/>
  <c r="BM5" i="26"/>
  <c r="BL5" i="26"/>
  <c r="BT25" i="26"/>
  <c r="BS25" i="26"/>
  <c r="BK25" i="26"/>
  <c r="BJ10" i="26"/>
  <c r="BJ5" i="26"/>
  <c r="BQ25" i="25"/>
  <c r="BS20" i="25"/>
  <c r="BQ25" i="24"/>
  <c r="BP20" i="18"/>
  <c r="BP25" i="18"/>
  <c r="BM20" i="22"/>
  <c r="BS10" i="22"/>
  <c r="BR10" i="23"/>
  <c r="BQ5" i="18"/>
  <c r="BL5" i="18"/>
  <c r="BQ20" i="23"/>
  <c r="BK5" i="22"/>
  <c r="BM10" i="23"/>
  <c r="BK25" i="24"/>
  <c r="BR25" i="18"/>
  <c r="BR20" i="22"/>
  <c r="BK20" i="24"/>
  <c r="BT20" i="18"/>
  <c r="BK15" i="23"/>
  <c r="BQ10" i="25"/>
  <c r="BM25" i="23"/>
  <c r="BK5" i="24"/>
  <c r="BQ10" i="18"/>
  <c r="BP25" i="25"/>
  <c r="BR20" i="25"/>
  <c r="BT15" i="25"/>
  <c r="BS20" i="24"/>
  <c r="BP25" i="24"/>
  <c r="BP15" i="18"/>
  <c r="BL25" i="24"/>
  <c r="BS5" i="24"/>
  <c r="BS25" i="18"/>
  <c r="BQ20" i="22"/>
  <c r="BN15" i="22"/>
  <c r="BL20" i="23"/>
  <c r="BN10" i="23"/>
  <c r="BT25" i="24"/>
  <c r="BN15" i="25"/>
  <c r="BN10" i="24"/>
  <c r="BM5" i="25"/>
  <c r="BM5" i="24"/>
  <c r="BN25" i="25"/>
  <c r="BQ20" i="25"/>
  <c r="BS15" i="25"/>
  <c r="BQ10" i="23"/>
  <c r="BR20" i="24"/>
  <c r="BL15" i="18"/>
  <c r="BN20" i="24"/>
  <c r="BN5" i="18"/>
  <c r="BR5" i="18"/>
  <c r="BT10" i="22"/>
  <c r="BR5" i="22"/>
  <c r="BM25" i="18"/>
  <c r="BK25" i="18"/>
  <c r="BL20" i="22"/>
  <c r="BK15" i="24"/>
  <c r="BN10" i="18"/>
  <c r="BP20" i="22"/>
  <c r="BS25" i="24"/>
  <c r="BL20" i="25"/>
  <c r="BM15" i="23"/>
  <c r="BJ5" i="24"/>
  <c r="BT5" i="22"/>
  <c r="BM25" i="25"/>
  <c r="BP20" i="25"/>
  <c r="BR15" i="25"/>
  <c r="BT10" i="25"/>
  <c r="BS5" i="23"/>
  <c r="BT15" i="24"/>
  <c r="BP25" i="22"/>
  <c r="BQ15" i="24"/>
  <c r="BQ10" i="22"/>
  <c r="BP5" i="22"/>
  <c r="BM10" i="24"/>
  <c r="BJ10" i="23"/>
  <c r="BR10" i="18"/>
  <c r="BN15" i="24"/>
  <c r="BR25" i="24"/>
  <c r="BP15" i="22"/>
  <c r="BN20" i="22"/>
  <c r="BS5" i="25"/>
  <c r="BP25" i="23"/>
  <c r="BT15" i="23"/>
  <c r="BQ5" i="22"/>
  <c r="BL25" i="25"/>
  <c r="BN20" i="25"/>
  <c r="BQ15" i="25"/>
  <c r="BS10" i="25"/>
  <c r="BN25" i="23"/>
  <c r="BR5" i="23"/>
  <c r="BS15" i="22"/>
  <c r="BS10" i="24"/>
  <c r="BM20" i="24"/>
  <c r="BL25" i="22"/>
  <c r="BP5" i="24"/>
  <c r="BS25" i="23"/>
  <c r="BP5" i="23"/>
  <c r="BT20" i="24"/>
  <c r="BK20" i="22"/>
  <c r="BS20" i="23"/>
  <c r="BL10" i="24"/>
  <c r="BQ20" i="24"/>
  <c r="BM20" i="25"/>
  <c r="BP15" i="25"/>
  <c r="BR10" i="25"/>
  <c r="BT5" i="25"/>
  <c r="BP15" i="24"/>
  <c r="BN15" i="18"/>
  <c r="BM15" i="24"/>
  <c r="BM15" i="25"/>
  <c r="BP10" i="25"/>
  <c r="BR5" i="25"/>
  <c r="BL25" i="18"/>
  <c r="BR15" i="22"/>
  <c r="BL15" i="22"/>
  <c r="BT5" i="23"/>
  <c r="BT5" i="24"/>
  <c r="BQ5" i="24"/>
  <c r="BN15" i="23"/>
  <c r="BN5" i="24"/>
  <c r="BQ25" i="23"/>
  <c r="BQ5" i="23"/>
  <c r="BM20" i="18"/>
  <c r="BL10" i="22"/>
  <c r="BN25" i="18"/>
  <c r="BL10" i="18"/>
  <c r="BL5" i="22"/>
  <c r="BP10" i="18"/>
  <c r="BN25" i="24"/>
  <c r="BT15" i="18"/>
  <c r="BR25" i="22"/>
  <c r="BK10" i="24"/>
  <c r="BM15" i="18"/>
  <c r="BS10" i="23"/>
  <c r="BQ25" i="18"/>
  <c r="BL15" i="25"/>
  <c r="BN10" i="25"/>
  <c r="BQ5" i="25"/>
  <c r="BS5" i="22"/>
  <c r="BL20" i="24"/>
  <c r="BM25" i="24"/>
  <c r="BS20" i="18"/>
  <c r="BL25" i="23"/>
  <c r="BR25" i="23"/>
  <c r="BS10" i="18"/>
  <c r="BS5" i="18"/>
  <c r="BL5" i="23"/>
  <c r="BP10" i="23"/>
  <c r="BT10" i="18"/>
  <c r="BP20" i="24"/>
  <c r="BM5" i="22"/>
  <c r="BS15" i="18"/>
  <c r="BP5" i="18"/>
  <c r="BR15" i="18"/>
  <c r="BN5" i="25"/>
  <c r="BK15" i="22"/>
  <c r="BR15" i="24"/>
  <c r="BJ5" i="23"/>
  <c r="BP10" i="22"/>
  <c r="BQ15" i="18"/>
  <c r="BK10" i="25"/>
  <c r="BT10" i="24"/>
  <c r="BM10" i="25"/>
  <c r="BP5" i="25"/>
  <c r="BK10" i="18"/>
  <c r="BM15" i="22"/>
  <c r="BL10" i="25"/>
  <c r="BL5" i="25"/>
  <c r="BR10" i="22"/>
  <c r="BS15" i="24"/>
  <c r="BK25" i="23"/>
  <c r="BT20" i="22"/>
  <c r="BP10" i="24"/>
  <c r="BM5" i="18"/>
  <c r="BN5" i="22"/>
  <c r="BM5" i="23"/>
  <c r="BN10" i="22"/>
  <c r="BM10" i="22"/>
  <c r="BT25" i="18"/>
  <c r="BT5" i="18"/>
  <c r="BT20" i="23"/>
  <c r="BQ15" i="22"/>
  <c r="BT10" i="23"/>
  <c r="BR5" i="24"/>
  <c r="BL15" i="24"/>
  <c r="BR15" i="23"/>
  <c r="BQ20" i="18"/>
  <c r="BT15" i="22"/>
  <c r="BK10" i="22"/>
  <c r="BN25" i="22"/>
  <c r="BT25" i="25"/>
  <c r="BS25" i="25"/>
  <c r="BN20" i="18"/>
  <c r="BL10" i="23"/>
  <c r="BJ25" i="24"/>
  <c r="BM20" i="23"/>
  <c r="BP20" i="23"/>
  <c r="BL15" i="23"/>
  <c r="BN20" i="23"/>
  <c r="BL5" i="24"/>
  <c r="BS25" i="22"/>
  <c r="BT25" i="22"/>
  <c r="BL20" i="18"/>
  <c r="BR20" i="23"/>
  <c r="BQ25" i="22"/>
  <c r="BR25" i="25"/>
  <c r="BT20" i="25"/>
  <c r="BQ10" i="24"/>
  <c r="BN5" i="23"/>
  <c r="BT25" i="23"/>
  <c r="BM10" i="18"/>
  <c r="BQ15" i="23"/>
  <c r="BP15" i="23"/>
  <c r="BK5" i="23"/>
  <c r="BS15" i="23"/>
  <c r="BR20" i="18"/>
  <c r="BM25" i="22"/>
  <c r="BJ10" i="24"/>
  <c r="BJ25" i="25"/>
  <c r="BR10" i="24"/>
  <c r="BS20" i="22"/>
  <c r="BK5" i="25"/>
  <c r="BK25" i="25"/>
  <c r="BK20" i="25"/>
  <c r="BK15" i="25"/>
  <c r="BJ10" i="25"/>
  <c r="BY21" i="26" l="1"/>
  <c r="BY24" i="26"/>
  <c r="BG22" i="26"/>
  <c r="AI24" i="26"/>
  <c r="BE24" i="26" s="1"/>
  <c r="BY23" i="26"/>
  <c r="BY25" i="26"/>
  <c r="AI25" i="26"/>
  <c r="BY27" i="26"/>
  <c r="CB29" i="26"/>
  <c r="BY29" i="26"/>
  <c r="BY28" i="26"/>
  <c r="AJ41" i="26"/>
  <c r="BY26" i="26"/>
  <c r="BY11" i="26"/>
  <c r="BG12" i="26"/>
  <c r="BG10" i="26"/>
  <c r="CA14" i="26"/>
  <c r="BY18" i="26"/>
  <c r="BG15" i="26"/>
  <c r="BY16" i="26"/>
  <c r="BY15" i="26"/>
  <c r="BG16" i="26"/>
  <c r="BY17" i="26"/>
  <c r="CB19" i="26"/>
  <c r="AI15" i="26"/>
  <c r="BE15" i="26" s="1"/>
  <c r="BH15" i="26"/>
  <c r="BY19" i="26"/>
  <c r="AI9" i="26"/>
  <c r="BE9" i="26" s="1"/>
  <c r="AI5" i="26"/>
  <c r="BG7" i="26"/>
  <c r="CB9" i="26"/>
  <c r="BY6" i="26"/>
  <c r="CA9" i="26"/>
  <c r="CB14" i="26"/>
  <c r="BY12" i="26"/>
  <c r="BG6" i="26"/>
  <c r="BZ19" i="26"/>
  <c r="AH41" i="26"/>
  <c r="AI28" i="26"/>
  <c r="BE28" i="26" s="1"/>
  <c r="AK41" i="26"/>
  <c r="AJ43" i="26"/>
  <c r="CA19" i="26"/>
  <c r="BY20" i="26"/>
  <c r="AK43" i="26"/>
  <c r="CA24" i="26"/>
  <c r="BG26" i="26"/>
  <c r="BH5" i="26"/>
  <c r="CB24" i="26"/>
  <c r="AZ47" i="26"/>
  <c r="BZ29" i="26"/>
  <c r="BA47" i="26"/>
  <c r="AH43" i="26"/>
  <c r="BY5" i="26"/>
  <c r="BY8" i="26"/>
  <c r="BY9" i="26"/>
  <c r="BV43" i="26"/>
  <c r="BY43" i="26" s="1"/>
  <c r="BX43" i="26"/>
  <c r="BZ14" i="26"/>
  <c r="BY13" i="26"/>
  <c r="AI18" i="26"/>
  <c r="BE18" i="26" s="1"/>
  <c r="AI19" i="26"/>
  <c r="BE19" i="26" s="1"/>
  <c r="BG29" i="26"/>
  <c r="BK41" i="26"/>
  <c r="BS41" i="26"/>
  <c r="BT41" i="26"/>
  <c r="BL43" i="26"/>
  <c r="BL40" i="26"/>
  <c r="BM43" i="26"/>
  <c r="BM40" i="26"/>
  <c r="BQ40" i="26"/>
  <c r="BQ43" i="26"/>
  <c r="BR43" i="26"/>
  <c r="BR40" i="26"/>
  <c r="BR41" i="26"/>
  <c r="BS43" i="26"/>
  <c r="BS40" i="26"/>
  <c r="BP43" i="26"/>
  <c r="BP40" i="26"/>
  <c r="BT43" i="26"/>
  <c r="BT40" i="26"/>
  <c r="BN43" i="26"/>
  <c r="BN40" i="26"/>
  <c r="BL41" i="26"/>
  <c r="BM41" i="26"/>
  <c r="BN41" i="26"/>
  <c r="BP41" i="26"/>
  <c r="BQ41" i="26"/>
  <c r="BE39" i="26"/>
  <c r="BE26" i="26"/>
  <c r="BK42" i="26"/>
  <c r="BE32" i="26"/>
  <c r="K42" i="26"/>
  <c r="BE22" i="26"/>
  <c r="K5" i="26"/>
  <c r="AI14" i="26"/>
  <c r="BE14" i="26" s="1"/>
  <c r="AI27" i="26"/>
  <c r="BE27" i="26" s="1"/>
  <c r="K29" i="26"/>
  <c r="BE29" i="26" s="1"/>
  <c r="AI30" i="26"/>
  <c r="AI38" i="26"/>
  <c r="BE38" i="26" s="1"/>
  <c r="L40" i="26"/>
  <c r="BH10" i="26" a="1"/>
  <c r="BH10" i="26" s="1"/>
  <c r="BZ24" i="26"/>
  <c r="BM42" i="24"/>
  <c r="BQ42" i="25"/>
  <c r="BG8" i="26"/>
  <c r="BG21" i="26"/>
  <c r="AI23" i="26"/>
  <c r="BE23" i="26" s="1"/>
  <c r="BG35" i="26"/>
  <c r="M40" i="26"/>
  <c r="J43" i="26"/>
  <c r="BY7" i="26"/>
  <c r="BG17" i="26"/>
  <c r="BG20" i="26"/>
  <c r="CA29" i="26"/>
  <c r="BH35" i="26" a="1"/>
  <c r="BH35" i="26" s="1"/>
  <c r="AH40" i="26"/>
  <c r="BV40" i="26"/>
  <c r="BH20" i="26" a="1"/>
  <c r="BH20" i="26" s="1"/>
  <c r="BW40" i="26"/>
  <c r="BW43" i="26"/>
  <c r="BJ35" i="26"/>
  <c r="BJ42" i="26" s="1"/>
  <c r="AJ40" i="26"/>
  <c r="BX40" i="26"/>
  <c r="BR42" i="24"/>
  <c r="BH25" i="26" a="1"/>
  <c r="BH25" i="26" s="1"/>
  <c r="BH41" i="26" s="1"/>
  <c r="BK35" i="26"/>
  <c r="AK40" i="26"/>
  <c r="BG30" i="26"/>
  <c r="AI11" i="26"/>
  <c r="BE11" i="26" s="1"/>
  <c r="BH30" i="26" a="1"/>
  <c r="BH30" i="26" s="1"/>
  <c r="BH42" i="26" s="1"/>
  <c r="AI7" i="26"/>
  <c r="K25" i="26"/>
  <c r="K41" i="26" s="1"/>
  <c r="BZ9" i="26"/>
  <c r="BN42" i="23"/>
  <c r="BY14" i="25"/>
  <c r="AI10" i="25"/>
  <c r="BE10" i="25" s="1"/>
  <c r="BY13" i="25"/>
  <c r="BY12" i="25"/>
  <c r="AI11" i="25"/>
  <c r="BE11" i="25" s="1"/>
  <c r="BH10" i="25"/>
  <c r="BG10" i="25"/>
  <c r="BZ14" i="25"/>
  <c r="CA14" i="25"/>
  <c r="BY11" i="25"/>
  <c r="CC14" i="25" s="1"/>
  <c r="CB14" i="25"/>
  <c r="AJ41" i="25"/>
  <c r="CA29" i="25"/>
  <c r="AK41" i="25"/>
  <c r="BG28" i="25"/>
  <c r="BY29" i="25"/>
  <c r="BE27" i="25"/>
  <c r="AI26" i="25"/>
  <c r="BE26" i="25" s="1"/>
  <c r="BZ29" i="25"/>
  <c r="BY27" i="25"/>
  <c r="BY28" i="25"/>
  <c r="CB29" i="25"/>
  <c r="BH20" i="25"/>
  <c r="BY21" i="25"/>
  <c r="BE22" i="25"/>
  <c r="BG23" i="25"/>
  <c r="BY22" i="25"/>
  <c r="BY23" i="25"/>
  <c r="BZ24" i="25"/>
  <c r="BY25" i="25"/>
  <c r="CA24" i="25"/>
  <c r="CB24" i="25"/>
  <c r="AI19" i="25"/>
  <c r="BE19" i="25" s="1"/>
  <c r="BY17" i="25"/>
  <c r="BZ19" i="25"/>
  <c r="CB19" i="25"/>
  <c r="AI16" i="25"/>
  <c r="BE16" i="25" s="1"/>
  <c r="BE17" i="25"/>
  <c r="BX43" i="25"/>
  <c r="BY16" i="25"/>
  <c r="CA19" i="25"/>
  <c r="BY19" i="25"/>
  <c r="BG7" i="25"/>
  <c r="BY7" i="25"/>
  <c r="AH43" i="25"/>
  <c r="BY9" i="25"/>
  <c r="BH5" i="25"/>
  <c r="BG9" i="25"/>
  <c r="AJ43" i="25"/>
  <c r="AK43" i="25"/>
  <c r="BY6" i="25"/>
  <c r="BY8" i="25"/>
  <c r="CA9" i="25"/>
  <c r="CB9" i="25"/>
  <c r="BK41" i="25"/>
  <c r="BK43" i="25"/>
  <c r="BK40" i="25"/>
  <c r="BJ41" i="25"/>
  <c r="BR41" i="25"/>
  <c r="BS41" i="25"/>
  <c r="BT41" i="25"/>
  <c r="BL43" i="25"/>
  <c r="BL40" i="25"/>
  <c r="BP43" i="25"/>
  <c r="BP40" i="25"/>
  <c r="BN43" i="25"/>
  <c r="BN40" i="25"/>
  <c r="BQ43" i="25"/>
  <c r="BQ40" i="25"/>
  <c r="BR43" i="25"/>
  <c r="BR40" i="25"/>
  <c r="BT43" i="25"/>
  <c r="BT40" i="25"/>
  <c r="BL41" i="25"/>
  <c r="BS43" i="25"/>
  <c r="BS40" i="25"/>
  <c r="BM41" i="25"/>
  <c r="BN41" i="25"/>
  <c r="BM43" i="25"/>
  <c r="BM40" i="25"/>
  <c r="BP41" i="25"/>
  <c r="BQ41" i="25"/>
  <c r="K42" i="25"/>
  <c r="BE35" i="25"/>
  <c r="BK42" i="25"/>
  <c r="BE21" i="25"/>
  <c r="BE37" i="25"/>
  <c r="BP42" i="24"/>
  <c r="J40" i="25"/>
  <c r="BQ42" i="24"/>
  <c r="AI18" i="25"/>
  <c r="BE18" i="25" s="1"/>
  <c r="AI31" i="25"/>
  <c r="BE31" i="25" s="1"/>
  <c r="AI38" i="25"/>
  <c r="BE38" i="25" s="1"/>
  <c r="L40" i="25"/>
  <c r="K5" i="25"/>
  <c r="BG12" i="25"/>
  <c r="BG15" i="25"/>
  <c r="BS42" i="24"/>
  <c r="BG8" i="25"/>
  <c r="BH15" i="25" a="1"/>
  <c r="BH15" i="25" s="1"/>
  <c r="BG21" i="25"/>
  <c r="M40" i="25"/>
  <c r="AH40" i="25"/>
  <c r="BV40" i="25"/>
  <c r="BV43" i="25"/>
  <c r="BY43" i="25" s="1"/>
  <c r="BG13" i="25"/>
  <c r="BG37" i="25"/>
  <c r="AI39" i="25"/>
  <c r="BE39" i="25" s="1"/>
  <c r="BW40" i="25"/>
  <c r="BW43" i="25"/>
  <c r="K15" i="25"/>
  <c r="BE15" i="25" s="1"/>
  <c r="BG22" i="25"/>
  <c r="AI24" i="25"/>
  <c r="BE24" i="25" s="1"/>
  <c r="BG25" i="25"/>
  <c r="BE30" i="25"/>
  <c r="BJ35" i="25"/>
  <c r="BJ42" i="25" s="1"/>
  <c r="AJ40" i="25"/>
  <c r="BX40" i="25"/>
  <c r="AI6" i="25"/>
  <c r="BE6" i="25" s="1"/>
  <c r="BH25" i="25" a="1"/>
  <c r="BH25" i="25" s="1"/>
  <c r="BH41" i="25" s="1"/>
  <c r="AI33" i="25"/>
  <c r="BE33" i="25" s="1"/>
  <c r="K35" i="25"/>
  <c r="AK40" i="25"/>
  <c r="AI5" i="25"/>
  <c r="BG14" i="25"/>
  <c r="K20" i="25"/>
  <c r="BE20" i="25" s="1"/>
  <c r="BG27" i="25"/>
  <c r="AI29" i="25"/>
  <c r="BE29" i="25" s="1"/>
  <c r="BG30" i="25"/>
  <c r="K25" i="25"/>
  <c r="BZ9" i="25"/>
  <c r="BL42" i="24"/>
  <c r="BG5" i="25"/>
  <c r="BZ14" i="24"/>
  <c r="CA14" i="24"/>
  <c r="AI12" i="24"/>
  <c r="BE12" i="24" s="1"/>
  <c r="AI13" i="24"/>
  <c r="BE13" i="24" s="1"/>
  <c r="CB14" i="24"/>
  <c r="BG14" i="24"/>
  <c r="AI10" i="24"/>
  <c r="BE10" i="24" s="1"/>
  <c r="AI11" i="24"/>
  <c r="BE11" i="24" s="1"/>
  <c r="BY12" i="24"/>
  <c r="BY11" i="24"/>
  <c r="BY14" i="24"/>
  <c r="AI15" i="24"/>
  <c r="BY17" i="24"/>
  <c r="BY16" i="24"/>
  <c r="BG17" i="24"/>
  <c r="BG19" i="24"/>
  <c r="BY19" i="24"/>
  <c r="BZ19" i="24"/>
  <c r="CA19" i="24"/>
  <c r="BH15" i="24"/>
  <c r="BY18" i="24"/>
  <c r="CB19" i="24"/>
  <c r="BY23" i="24"/>
  <c r="BG20" i="24"/>
  <c r="CB24" i="24"/>
  <c r="CA24" i="24"/>
  <c r="BY22" i="24"/>
  <c r="BY24" i="24"/>
  <c r="BE22" i="24"/>
  <c r="AI20" i="24"/>
  <c r="AI21" i="24"/>
  <c r="BE21" i="24" s="1"/>
  <c r="BZ24" i="24"/>
  <c r="BG23" i="24"/>
  <c r="BY8" i="24"/>
  <c r="BG5" i="24"/>
  <c r="BE8" i="24"/>
  <c r="BH5" i="24"/>
  <c r="BY6" i="24"/>
  <c r="BY5" i="24"/>
  <c r="BY9" i="24"/>
  <c r="AJ43" i="24"/>
  <c r="BY29" i="24"/>
  <c r="BY28" i="24"/>
  <c r="AK41" i="24"/>
  <c r="AK43" i="24"/>
  <c r="AI25" i="24"/>
  <c r="BH25" i="24"/>
  <c r="BH41" i="24" s="1"/>
  <c r="AH41" i="24"/>
  <c r="BX43" i="24"/>
  <c r="AJ41" i="24"/>
  <c r="AH43" i="24"/>
  <c r="BZ29" i="24"/>
  <c r="BY25" i="24"/>
  <c r="CB29" i="24"/>
  <c r="BK41" i="24"/>
  <c r="BR41" i="24"/>
  <c r="BS41" i="24"/>
  <c r="BK43" i="24"/>
  <c r="BK40" i="24"/>
  <c r="BT41" i="24"/>
  <c r="BL43" i="24"/>
  <c r="BL40" i="24"/>
  <c r="BM43" i="24"/>
  <c r="BM40" i="24"/>
  <c r="BN43" i="24"/>
  <c r="BN40" i="24"/>
  <c r="BP43" i="24"/>
  <c r="BP40" i="24"/>
  <c r="BQ43" i="24"/>
  <c r="BQ40" i="24"/>
  <c r="BR43" i="24"/>
  <c r="BR40" i="24"/>
  <c r="BT43" i="24"/>
  <c r="BT40" i="24"/>
  <c r="BS43" i="24"/>
  <c r="BS40" i="24"/>
  <c r="BL41" i="24"/>
  <c r="BJ41" i="24"/>
  <c r="BM41" i="24"/>
  <c r="BN41" i="24"/>
  <c r="BP41" i="24"/>
  <c r="BQ41" i="24"/>
  <c r="BE5" i="24"/>
  <c r="BE35" i="24"/>
  <c r="BK42" i="24"/>
  <c r="BE28" i="24"/>
  <c r="BE30" i="24"/>
  <c r="BE16" i="24"/>
  <c r="BY10" i="24"/>
  <c r="J40" i="24"/>
  <c r="BH10" i="24" a="1"/>
  <c r="BH10" i="24" s="1"/>
  <c r="BG16" i="24"/>
  <c r="AI18" i="24"/>
  <c r="BE18" i="24" s="1"/>
  <c r="AI31" i="24"/>
  <c r="BE31" i="24" s="1"/>
  <c r="BG15" i="24"/>
  <c r="BY15" i="24"/>
  <c r="L40" i="24"/>
  <c r="M40" i="24"/>
  <c r="AH40" i="24"/>
  <c r="BV40" i="24"/>
  <c r="BV43" i="24"/>
  <c r="BY43" i="24" s="1"/>
  <c r="CA29" i="24"/>
  <c r="BG26" i="24"/>
  <c r="BG37" i="24"/>
  <c r="AI39" i="24"/>
  <c r="BE39" i="24" s="1"/>
  <c r="BW40" i="24"/>
  <c r="BW43" i="24"/>
  <c r="BL42" i="23"/>
  <c r="K15" i="24"/>
  <c r="BE15" i="24" s="1"/>
  <c r="BG22" i="24"/>
  <c r="AI24" i="24"/>
  <c r="BE24" i="24" s="1"/>
  <c r="BG25" i="24"/>
  <c r="BJ35" i="24"/>
  <c r="BJ42" i="24" s="1"/>
  <c r="AJ40" i="24"/>
  <c r="BX40" i="24"/>
  <c r="AI33" i="24"/>
  <c r="BE33" i="24" s="1"/>
  <c r="K35" i="24"/>
  <c r="AK40" i="24"/>
  <c r="K20" i="24"/>
  <c r="BG27" i="24"/>
  <c r="AI29" i="24"/>
  <c r="BE29" i="24" s="1"/>
  <c r="BG30" i="24"/>
  <c r="K25" i="24"/>
  <c r="BG28" i="24"/>
  <c r="CA9" i="24"/>
  <c r="K30" i="24"/>
  <c r="K42" i="24" s="1"/>
  <c r="BG6" i="24"/>
  <c r="BG35" i="18"/>
  <c r="BE29" i="23"/>
  <c r="AK42" i="23"/>
  <c r="BE34" i="23"/>
  <c r="BE27" i="23"/>
  <c r="BC45" i="23"/>
  <c r="BM42" i="23"/>
  <c r="BG11" i="23"/>
  <c r="BG24" i="23"/>
  <c r="AI32" i="23"/>
  <c r="BE32" i="23" s="1"/>
  <c r="BE8" i="23"/>
  <c r="BH10" i="23" a="1"/>
  <c r="BH10" i="23" s="1"/>
  <c r="BG25" i="23"/>
  <c r="BG34" i="23"/>
  <c r="BY24" i="23"/>
  <c r="BQ42" i="23"/>
  <c r="L42" i="23"/>
  <c r="BE37" i="23"/>
  <c r="BG5" i="23"/>
  <c r="BK30" i="23"/>
  <c r="BY5" i="23"/>
  <c r="K41" i="23"/>
  <c r="BK35" i="23"/>
  <c r="BE19" i="23"/>
  <c r="AH42" i="23"/>
  <c r="BH20" i="23" a="1"/>
  <c r="BH20" i="23" s="1"/>
  <c r="BP42" i="23"/>
  <c r="AJ42" i="23"/>
  <c r="AZ45" i="23"/>
  <c r="J43" i="23"/>
  <c r="L43" i="23"/>
  <c r="BG17" i="23"/>
  <c r="BG20" i="23"/>
  <c r="M42" i="23"/>
  <c r="BR42" i="23"/>
  <c r="BG31" i="23"/>
  <c r="BB45" i="23"/>
  <c r="M43" i="23"/>
  <c r="BE13" i="23"/>
  <c r="BE16" i="23"/>
  <c r="J41" i="23"/>
  <c r="BT42" i="23"/>
  <c r="BH15" i="23" a="1"/>
  <c r="BH15" i="23" s="1"/>
  <c r="L41" i="23"/>
  <c r="BE9" i="23"/>
  <c r="BY13" i="23"/>
  <c r="BY16" i="23"/>
  <c r="AI30" i="23"/>
  <c r="BG39" i="23"/>
  <c r="BH5" i="23" a="1"/>
  <c r="BH5" i="23" s="1"/>
  <c r="BE26" i="23"/>
  <c r="BS42" i="23"/>
  <c r="BC47" i="23"/>
  <c r="BB47" i="22"/>
  <c r="BC47" i="22"/>
  <c r="BG36" i="22"/>
  <c r="BG12" i="22"/>
  <c r="BG23" i="22"/>
  <c r="AI17" i="23"/>
  <c r="BY17" i="23"/>
  <c r="BY19" i="23"/>
  <c r="BY18" i="23"/>
  <c r="BG19" i="23"/>
  <c r="CB19" i="23"/>
  <c r="BZ19" i="23"/>
  <c r="BY15" i="23"/>
  <c r="BY12" i="23"/>
  <c r="CA14" i="23"/>
  <c r="AI11" i="23"/>
  <c r="BE11" i="23" s="1"/>
  <c r="BG10" i="23"/>
  <c r="BZ14" i="23"/>
  <c r="BY11" i="23"/>
  <c r="CB14" i="23"/>
  <c r="BE12" i="23"/>
  <c r="AI10" i="23"/>
  <c r="BE10" i="23" s="1"/>
  <c r="AI14" i="23"/>
  <c r="BE14" i="23" s="1"/>
  <c r="BY25" i="23"/>
  <c r="BY26" i="23"/>
  <c r="CA29" i="23"/>
  <c r="CB29" i="23"/>
  <c r="AH41" i="23"/>
  <c r="AI25" i="23"/>
  <c r="AJ41" i="23"/>
  <c r="AK41" i="23"/>
  <c r="BG29" i="23"/>
  <c r="BY28" i="23"/>
  <c r="BY29" i="23"/>
  <c r="BY27" i="23"/>
  <c r="CB9" i="23"/>
  <c r="BG9" i="23"/>
  <c r="BY9" i="23"/>
  <c r="BY6" i="23"/>
  <c r="AI6" i="23"/>
  <c r="BE6" i="23" s="1"/>
  <c r="AI7" i="23"/>
  <c r="BE7" i="23" s="1"/>
  <c r="BA45" i="23"/>
  <c r="BZ9" i="23"/>
  <c r="CA9" i="23"/>
  <c r="BY8" i="23"/>
  <c r="CB24" i="23"/>
  <c r="AK43" i="23"/>
  <c r="BG23" i="23"/>
  <c r="BY22" i="23"/>
  <c r="BY21" i="23"/>
  <c r="BE23" i="23"/>
  <c r="BX43" i="23"/>
  <c r="AI20" i="23"/>
  <c r="AI22" i="23"/>
  <c r="BE22" i="23" s="1"/>
  <c r="BZ24" i="23"/>
  <c r="AH43" i="23"/>
  <c r="CA24" i="23"/>
  <c r="BY23" i="23"/>
  <c r="BY20" i="23"/>
  <c r="AJ43" i="23"/>
  <c r="BR41" i="23"/>
  <c r="BS41" i="23"/>
  <c r="BT41" i="23"/>
  <c r="BL43" i="23"/>
  <c r="BL40" i="23"/>
  <c r="BN43" i="23"/>
  <c r="BN40" i="23"/>
  <c r="BM43" i="23"/>
  <c r="BM40" i="23"/>
  <c r="BP43" i="23"/>
  <c r="BP40" i="23"/>
  <c r="BQ43" i="23"/>
  <c r="BQ40" i="23"/>
  <c r="BR43" i="23"/>
  <c r="BR40" i="23"/>
  <c r="BT43" i="23"/>
  <c r="BT40" i="23"/>
  <c r="BK41" i="23"/>
  <c r="BL41" i="23"/>
  <c r="BS43" i="23"/>
  <c r="BS40" i="23"/>
  <c r="BM41" i="23"/>
  <c r="BN41" i="23"/>
  <c r="BP41" i="23"/>
  <c r="BQ41" i="23"/>
  <c r="BE21" i="23"/>
  <c r="BE38" i="23"/>
  <c r="BE28" i="23"/>
  <c r="BE36" i="23"/>
  <c r="BE5" i="23"/>
  <c r="BE17" i="23"/>
  <c r="J40" i="23"/>
  <c r="BY10" i="23"/>
  <c r="CA19" i="23"/>
  <c r="BG16" i="23"/>
  <c r="AI18" i="23"/>
  <c r="BE18" i="23" s="1"/>
  <c r="AI31" i="23"/>
  <c r="BE31" i="23" s="1"/>
  <c r="BG12" i="23"/>
  <c r="BG15" i="23"/>
  <c r="BG36" i="23"/>
  <c r="L40" i="23"/>
  <c r="BG8" i="23"/>
  <c r="BG21" i="23"/>
  <c r="BZ29" i="23"/>
  <c r="BG35" i="23"/>
  <c r="M40" i="23"/>
  <c r="BH35" i="23" a="1"/>
  <c r="BH35" i="23" s="1"/>
  <c r="AH40" i="23"/>
  <c r="BV40" i="23"/>
  <c r="BV43" i="23"/>
  <c r="BY43" i="23" s="1"/>
  <c r="BG13" i="23"/>
  <c r="BG26" i="23"/>
  <c r="BG37" i="23"/>
  <c r="AI39" i="23"/>
  <c r="BE39" i="23" s="1"/>
  <c r="BW40" i="23"/>
  <c r="BW43" i="23"/>
  <c r="K15" i="23"/>
  <c r="BE15" i="23" s="1"/>
  <c r="AI24" i="23"/>
  <c r="BE24" i="23" s="1"/>
  <c r="BJ35" i="23"/>
  <c r="BJ42" i="23" s="1"/>
  <c r="AJ40" i="23"/>
  <c r="BX40" i="23"/>
  <c r="BH25" i="23" a="1"/>
  <c r="BH25" i="23" s="1"/>
  <c r="BH41" i="23" s="1"/>
  <c r="AI33" i="23"/>
  <c r="BE33" i="23" s="1"/>
  <c r="K35" i="23"/>
  <c r="BE35" i="23" s="1"/>
  <c r="AK40" i="23"/>
  <c r="K20" i="23"/>
  <c r="BG27" i="23"/>
  <c r="BG30" i="23"/>
  <c r="BG38" i="23"/>
  <c r="BL42" i="22"/>
  <c r="BG28" i="23"/>
  <c r="K30" i="23"/>
  <c r="BG6" i="23"/>
  <c r="CA29" i="22"/>
  <c r="BZ29" i="22"/>
  <c r="CA9" i="22"/>
  <c r="BZ14" i="22"/>
  <c r="BZ19" i="22"/>
  <c r="CA19" i="22"/>
  <c r="CB24" i="22"/>
  <c r="BZ9" i="18"/>
  <c r="CA9" i="18"/>
  <c r="CA24" i="18"/>
  <c r="CB19" i="18"/>
  <c r="BY24" i="22"/>
  <c r="CA14" i="22"/>
  <c r="BZ24" i="22"/>
  <c r="BG17" i="22"/>
  <c r="CA24" i="22"/>
  <c r="BG30" i="22"/>
  <c r="BM42" i="22"/>
  <c r="BE37" i="22"/>
  <c r="BZ9" i="22"/>
  <c r="BP42" i="22"/>
  <c r="BQ42" i="22"/>
  <c r="BE9" i="22"/>
  <c r="BG10" i="22"/>
  <c r="BK30" i="22"/>
  <c r="BY17" i="22"/>
  <c r="BA47" i="22"/>
  <c r="CB14" i="18"/>
  <c r="CB24" i="18"/>
  <c r="BY29" i="18"/>
  <c r="BG14" i="18"/>
  <c r="BZ24" i="18"/>
  <c r="CB9" i="18"/>
  <c r="CA14" i="18"/>
  <c r="BZ19" i="18"/>
  <c r="CA19" i="18"/>
  <c r="BZ29" i="18"/>
  <c r="BG9" i="18"/>
  <c r="CA29" i="18"/>
  <c r="CB29" i="18"/>
  <c r="BZ14" i="18"/>
  <c r="BY7" i="18"/>
  <c r="M41" i="18"/>
  <c r="BA47" i="18"/>
  <c r="BE26" i="18"/>
  <c r="BG39" i="18"/>
  <c r="BG23" i="18"/>
  <c r="BE37" i="18"/>
  <c r="BG24" i="18"/>
  <c r="BE36" i="18"/>
  <c r="BG8" i="18"/>
  <c r="BE21" i="18"/>
  <c r="L43" i="18"/>
  <c r="BY21" i="18"/>
  <c r="AJ42" i="18"/>
  <c r="BG29" i="18"/>
  <c r="AK42" i="18"/>
  <c r="AI34" i="18"/>
  <c r="BE34" i="18" s="1"/>
  <c r="AI35" i="18"/>
  <c r="BA45" i="18"/>
  <c r="BV40" i="18"/>
  <c r="BY16" i="18"/>
  <c r="M43" i="18"/>
  <c r="BY26" i="18"/>
  <c r="AZ45" i="18"/>
  <c r="BH25" i="18" a="1"/>
  <c r="BH25" i="18" s="1"/>
  <c r="BH41" i="18" s="1"/>
  <c r="BY8" i="18"/>
  <c r="L42" i="18"/>
  <c r="BE32" i="18"/>
  <c r="BH35" i="18" a="1"/>
  <c r="BH35" i="18" s="1"/>
  <c r="BH10" i="18" a="1"/>
  <c r="BH10" i="18" s="1"/>
  <c r="J42" i="18"/>
  <c r="BG19" i="18"/>
  <c r="M42" i="18"/>
  <c r="BG36" i="18"/>
  <c r="BB45" i="18"/>
  <c r="BG18" i="18"/>
  <c r="BK30" i="18"/>
  <c r="BG31" i="18"/>
  <c r="BG32" i="18"/>
  <c r="BC45" i="18"/>
  <c r="BH5" i="18" a="1"/>
  <c r="BH5" i="18" s="1"/>
  <c r="BH20" i="18" a="1"/>
  <c r="BH20" i="18" s="1"/>
  <c r="J41" i="18"/>
  <c r="AH42" i="18"/>
  <c r="AI38" i="18"/>
  <c r="BE38" i="18" s="1"/>
  <c r="L41" i="18"/>
  <c r="AI30" i="18"/>
  <c r="AZ47" i="18"/>
  <c r="BK35" i="18"/>
  <c r="BG13" i="18"/>
  <c r="BH15" i="18" a="1"/>
  <c r="BH15" i="18" s="1"/>
  <c r="BB47" i="18"/>
  <c r="J43" i="18"/>
  <c r="BE27" i="18"/>
  <c r="BC47" i="18"/>
  <c r="AH42" i="22"/>
  <c r="AI30" i="22"/>
  <c r="M41" i="22"/>
  <c r="BA45" i="22"/>
  <c r="BB45" i="22"/>
  <c r="BG5" i="22"/>
  <c r="BG27" i="22"/>
  <c r="BK35" i="22"/>
  <c r="BG15" i="22"/>
  <c r="BG13" i="22"/>
  <c r="BG25" i="22"/>
  <c r="J43" i="22"/>
  <c r="BH10" i="22" a="1"/>
  <c r="BH10" i="22" s="1"/>
  <c r="BY12" i="22"/>
  <c r="L42" i="22"/>
  <c r="BT42" i="22"/>
  <c r="BE35" i="22"/>
  <c r="BG7" i="22"/>
  <c r="BH5" i="22" a="1"/>
  <c r="BH5" i="22" s="1"/>
  <c r="BG18" i="22"/>
  <c r="BG20" i="22"/>
  <c r="M42" i="22"/>
  <c r="BR42" i="22"/>
  <c r="BG32" i="22"/>
  <c r="BJ30" i="22"/>
  <c r="BS42" i="22"/>
  <c r="BG35" i="22"/>
  <c r="BY20" i="22"/>
  <c r="J41" i="22"/>
  <c r="BH35" i="22" a="1"/>
  <c r="BH35" i="22" s="1"/>
  <c r="AZ45" i="22"/>
  <c r="L41" i="22"/>
  <c r="BJ35" i="22"/>
  <c r="BH15" i="22" a="1"/>
  <c r="BH15" i="22" s="1"/>
  <c r="BE29" i="22"/>
  <c r="BE14" i="22"/>
  <c r="AJ42" i="22"/>
  <c r="BC45" i="22"/>
  <c r="AK42" i="22"/>
  <c r="BE38" i="22"/>
  <c r="BY15" i="22"/>
  <c r="BH25" i="22" a="1"/>
  <c r="BH25" i="22" s="1"/>
  <c r="BH41" i="22" s="1"/>
  <c r="BY28" i="22"/>
  <c r="AI36" i="22"/>
  <c r="BE36" i="22" s="1"/>
  <c r="BH30" i="22" a="1"/>
  <c r="BH30" i="22" s="1"/>
  <c r="BH42" i="22" s="1"/>
  <c r="BG33" i="22"/>
  <c r="BG39" i="22"/>
  <c r="L43" i="22"/>
  <c r="BG38" i="22"/>
  <c r="AZ47" i="22"/>
  <c r="M43" i="22"/>
  <c r="BE24" i="22"/>
  <c r="BG22" i="22"/>
  <c r="BG8" i="22"/>
  <c r="J42" i="22"/>
  <c r="BN42" i="22"/>
  <c r="AI32" i="22"/>
  <c r="BE32" i="22" s="1"/>
  <c r="BH20" i="22" a="1"/>
  <c r="BH20" i="22" s="1"/>
  <c r="BY22" i="22"/>
  <c r="K30" i="22"/>
  <c r="BE34" i="22"/>
  <c r="BE19" i="22"/>
  <c r="BG31" i="22"/>
  <c r="BY16" i="22"/>
  <c r="BY19" i="22"/>
  <c r="AI15" i="22"/>
  <c r="BY6" i="22"/>
  <c r="BY5" i="22"/>
  <c r="BY9" i="22"/>
  <c r="AI10" i="22"/>
  <c r="BY14" i="22"/>
  <c r="BY11" i="22"/>
  <c r="BY10" i="22"/>
  <c r="CB29" i="22"/>
  <c r="BY25" i="22"/>
  <c r="AI25" i="22"/>
  <c r="BY29" i="22"/>
  <c r="AI20" i="22"/>
  <c r="BX43" i="22"/>
  <c r="BW43" i="22"/>
  <c r="BY23" i="22"/>
  <c r="AI7" i="22"/>
  <c r="BE7" i="22" s="1"/>
  <c r="AI8" i="22"/>
  <c r="BE8" i="22" s="1"/>
  <c r="AI12" i="22"/>
  <c r="BE12" i="22" s="1"/>
  <c r="AI13" i="22"/>
  <c r="BE13" i="22" s="1"/>
  <c r="AI17" i="22"/>
  <c r="BE17" i="22" s="1"/>
  <c r="AI18" i="22"/>
  <c r="BE18" i="22" s="1"/>
  <c r="AI22" i="22"/>
  <c r="BE22" i="22" s="1"/>
  <c r="AI23" i="22"/>
  <c r="BE23" i="22" s="1"/>
  <c r="AH43" i="22"/>
  <c r="AH41" i="22"/>
  <c r="AJ43" i="22"/>
  <c r="AJ41" i="22"/>
  <c r="AK43" i="22"/>
  <c r="AK41" i="22"/>
  <c r="BY21" i="22"/>
  <c r="BY26" i="22"/>
  <c r="BY27" i="22"/>
  <c r="BY8" i="22"/>
  <c r="BY13" i="22"/>
  <c r="BY18" i="22"/>
  <c r="CB14" i="22"/>
  <c r="CB19" i="22"/>
  <c r="BG28" i="22"/>
  <c r="BK40" i="22"/>
  <c r="BL43" i="22"/>
  <c r="BL40" i="22"/>
  <c r="BP43" i="22"/>
  <c r="BP40" i="22"/>
  <c r="BP41" i="22"/>
  <c r="BQ43" i="22"/>
  <c r="BQ40" i="22"/>
  <c r="BQ41" i="22"/>
  <c r="BR43" i="22"/>
  <c r="BR40" i="22"/>
  <c r="BR41" i="22"/>
  <c r="BS41" i="22"/>
  <c r="BT43" i="22"/>
  <c r="BT40" i="22"/>
  <c r="BT41" i="22"/>
  <c r="BS43" i="22"/>
  <c r="BS40" i="22"/>
  <c r="BL41" i="22"/>
  <c r="BM43" i="22"/>
  <c r="BM40" i="22"/>
  <c r="BM41" i="22"/>
  <c r="BN43" i="22"/>
  <c r="BN40" i="22"/>
  <c r="BN41" i="22"/>
  <c r="BE27" i="22"/>
  <c r="BG9" i="22"/>
  <c r="BG14" i="22"/>
  <c r="BG19" i="22"/>
  <c r="BG24" i="22"/>
  <c r="BG29" i="22"/>
  <c r="BG34" i="22"/>
  <c r="J40" i="22"/>
  <c r="AI6" i="22"/>
  <c r="BE6" i="22" s="1"/>
  <c r="AI11" i="22"/>
  <c r="BE11" i="22" s="1"/>
  <c r="AI16" i="22"/>
  <c r="BE16" i="22" s="1"/>
  <c r="AI21" i="22"/>
  <c r="BE21" i="22" s="1"/>
  <c r="AI26" i="22"/>
  <c r="BE26" i="22" s="1"/>
  <c r="K28" i="22"/>
  <c r="BE28" i="22" s="1"/>
  <c r="AI31" i="22"/>
  <c r="BE31" i="22" s="1"/>
  <c r="K33" i="22"/>
  <c r="L40" i="22"/>
  <c r="M40" i="22"/>
  <c r="AH40" i="22"/>
  <c r="BV40" i="22"/>
  <c r="BV43" i="22"/>
  <c r="BY43" i="22" s="1"/>
  <c r="BG37" i="22"/>
  <c r="AI39" i="22"/>
  <c r="BE39" i="22" s="1"/>
  <c r="AJ40" i="22"/>
  <c r="BG6" i="22"/>
  <c r="BG11" i="22"/>
  <c r="BG16" i="22"/>
  <c r="BG21" i="22"/>
  <c r="BG26" i="22"/>
  <c r="AK40" i="22"/>
  <c r="K5" i="22"/>
  <c r="BE5" i="22" s="1"/>
  <c r="K10" i="22"/>
  <c r="K15" i="22"/>
  <c r="K20" i="22"/>
  <c r="K25" i="22"/>
  <c r="BM42" i="18"/>
  <c r="BL42" i="18"/>
  <c r="BN42" i="18"/>
  <c r="BP42" i="18"/>
  <c r="BQ42" i="18"/>
  <c r="BR42" i="18"/>
  <c r="BS42" i="18"/>
  <c r="BT42" i="18"/>
  <c r="BY17" i="18"/>
  <c r="BY15" i="18"/>
  <c r="BY19" i="18"/>
  <c r="BG17" i="18"/>
  <c r="BY25" i="18"/>
  <c r="AI29" i="18"/>
  <c r="BE29" i="18" s="1"/>
  <c r="AK41" i="18"/>
  <c r="BY9" i="18"/>
  <c r="BG7" i="18"/>
  <c r="BG6" i="18"/>
  <c r="BY6" i="18"/>
  <c r="BY24" i="18"/>
  <c r="BY20" i="18"/>
  <c r="AI24" i="18"/>
  <c r="BE24" i="18" s="1"/>
  <c r="BY10" i="18"/>
  <c r="AH43" i="18"/>
  <c r="AI14" i="18"/>
  <c r="BE14" i="18" s="1"/>
  <c r="BY14" i="18"/>
  <c r="BG12" i="18"/>
  <c r="BG11" i="18"/>
  <c r="BY12" i="18"/>
  <c r="BY11" i="18"/>
  <c r="BV43" i="18"/>
  <c r="BY43" i="18" s="1"/>
  <c r="BX43" i="18"/>
  <c r="BY13" i="18"/>
  <c r="BY5" i="18"/>
  <c r="BY22" i="18"/>
  <c r="BY27" i="18"/>
  <c r="BW43" i="18"/>
  <c r="BX40" i="18"/>
  <c r="BG21" i="18"/>
  <c r="AI9" i="18"/>
  <c r="BE9" i="18" s="1"/>
  <c r="AJ43" i="18"/>
  <c r="AK43" i="18"/>
  <c r="AH41" i="18"/>
  <c r="AJ41" i="18"/>
  <c r="BG16" i="18"/>
  <c r="BY18" i="18"/>
  <c r="BG22" i="18"/>
  <c r="BY23" i="18"/>
  <c r="BY28" i="18"/>
  <c r="BG26" i="18"/>
  <c r="BG27" i="18"/>
  <c r="BK41" i="18"/>
  <c r="BP43" i="18"/>
  <c r="BP40" i="18"/>
  <c r="BP41" i="18"/>
  <c r="BN41" i="18"/>
  <c r="BQ43" i="18"/>
  <c r="BQ40" i="18"/>
  <c r="BQ41" i="18"/>
  <c r="BR43" i="18"/>
  <c r="BR40" i="18"/>
  <c r="BR41" i="18"/>
  <c r="BS43" i="18"/>
  <c r="BS40" i="18"/>
  <c r="BS41" i="18"/>
  <c r="BN43" i="18"/>
  <c r="BN40" i="18"/>
  <c r="BT43" i="18"/>
  <c r="BT40" i="18"/>
  <c r="BT41" i="18"/>
  <c r="BL43" i="18"/>
  <c r="BL40" i="18"/>
  <c r="BL41" i="18"/>
  <c r="BM43" i="18"/>
  <c r="BM40" i="18"/>
  <c r="BM41" i="18"/>
  <c r="BE19" i="18"/>
  <c r="BE7" i="18"/>
  <c r="BE6" i="18"/>
  <c r="BE11" i="18"/>
  <c r="BE17" i="18"/>
  <c r="BE12" i="18"/>
  <c r="BE16" i="18"/>
  <c r="BE22" i="18"/>
  <c r="BE31" i="18"/>
  <c r="J40" i="18"/>
  <c r="L40" i="18"/>
  <c r="M40" i="18"/>
  <c r="AH40" i="18"/>
  <c r="BG37" i="18"/>
  <c r="AI39" i="18"/>
  <c r="BE39" i="18" s="1"/>
  <c r="BW40" i="18"/>
  <c r="BJ35" i="18"/>
  <c r="AJ40" i="18"/>
  <c r="AI8" i="18"/>
  <c r="BE8" i="18" s="1"/>
  <c r="AI13" i="18"/>
  <c r="BE13" i="18" s="1"/>
  <c r="AI23" i="18"/>
  <c r="BE23" i="18" s="1"/>
  <c r="AI28" i="18"/>
  <c r="BE28" i="18" s="1"/>
  <c r="AI33" i="18"/>
  <c r="BE33" i="18" s="1"/>
  <c r="K35" i="18"/>
  <c r="AK40" i="18"/>
  <c r="AI18" i="18"/>
  <c r="BE18" i="18" s="1"/>
  <c r="BG5" i="18"/>
  <c r="BG10" i="18"/>
  <c r="BG15" i="18"/>
  <c r="BG20" i="18"/>
  <c r="BG25" i="18"/>
  <c r="BG30" i="18"/>
  <c r="BJ30" i="18"/>
  <c r="K5" i="18"/>
  <c r="BE5" i="18" s="1"/>
  <c r="K10" i="18"/>
  <c r="BE10" i="18" s="1"/>
  <c r="K15" i="18"/>
  <c r="BE15" i="18" s="1"/>
  <c r="K20" i="18"/>
  <c r="BE20" i="18" s="1"/>
  <c r="K25" i="18"/>
  <c r="K41" i="18" s="1"/>
  <c r="K30" i="18"/>
  <c r="BC46" i="17"/>
  <c r="BC47" i="17" s="1"/>
  <c r="BB46" i="17"/>
  <c r="BA46" i="17"/>
  <c r="AZ46" i="17"/>
  <c r="AE46" i="17"/>
  <c r="AD46" i="17"/>
  <c r="AC46" i="17"/>
  <c r="AB46" i="17"/>
  <c r="BC44" i="17"/>
  <c r="BB44" i="17"/>
  <c r="BA44" i="17"/>
  <c r="AZ44" i="17"/>
  <c r="AE44" i="17"/>
  <c r="AD44" i="17"/>
  <c r="AC44" i="17"/>
  <c r="AB44" i="17"/>
  <c r="BX39" i="17"/>
  <c r="BW39" i="17"/>
  <c r="BV39" i="17"/>
  <c r="BY39" i="17" s="1"/>
  <c r="BF39" i="17"/>
  <c r="AL39" i="17"/>
  <c r="AI39" i="17" s="1"/>
  <c r="AK39" i="17"/>
  <c r="AJ39" i="17"/>
  <c r="AH39" i="17"/>
  <c r="AG39" i="17"/>
  <c r="N39" i="17"/>
  <c r="K39" i="17" s="1"/>
  <c r="M39" i="17"/>
  <c r="L39" i="17"/>
  <c r="J39" i="17"/>
  <c r="I39" i="17"/>
  <c r="BX38" i="17"/>
  <c r="BW38" i="17"/>
  <c r="BV38" i="17"/>
  <c r="BY38" i="17" s="1"/>
  <c r="BF38" i="17"/>
  <c r="AL38" i="17"/>
  <c r="AI38" i="17" s="1"/>
  <c r="AK38" i="17"/>
  <c r="AJ38" i="17"/>
  <c r="AH38" i="17"/>
  <c r="AG38" i="17"/>
  <c r="N38" i="17"/>
  <c r="K38" i="17" s="1"/>
  <c r="M38" i="17"/>
  <c r="L38" i="17"/>
  <c r="J38" i="17"/>
  <c r="I38" i="17"/>
  <c r="BX37" i="17"/>
  <c r="BW37" i="17"/>
  <c r="BV37" i="17"/>
  <c r="BY37" i="17" s="1"/>
  <c r="BF37" i="17"/>
  <c r="AL37" i="17"/>
  <c r="AI37" i="17" s="1"/>
  <c r="AK37" i="17"/>
  <c r="AJ37" i="17"/>
  <c r="AH37" i="17"/>
  <c r="AG37" i="17"/>
  <c r="N37" i="17"/>
  <c r="K37" i="17" s="1"/>
  <c r="M37" i="17"/>
  <c r="L37" i="17"/>
  <c r="J37" i="17"/>
  <c r="I37" i="17"/>
  <c r="BX36" i="17"/>
  <c r="BW36" i="17"/>
  <c r="BV36" i="17"/>
  <c r="BY36" i="17" s="1"/>
  <c r="BF36" i="17"/>
  <c r="AL36" i="17"/>
  <c r="AI36" i="17" s="1"/>
  <c r="AK36" i="17"/>
  <c r="AJ36" i="17"/>
  <c r="AH36" i="17"/>
  <c r="AG36" i="17"/>
  <c r="N36" i="17"/>
  <c r="K36" i="17" s="1"/>
  <c r="M36" i="17"/>
  <c r="L36" i="17"/>
  <c r="J36" i="17"/>
  <c r="I36" i="17"/>
  <c r="BX35" i="17"/>
  <c r="BW35" i="17"/>
  <c r="BV35" i="17"/>
  <c r="BY35" i="17" s="1"/>
  <c r="BT35" i="17"/>
  <c r="BS35" i="17"/>
  <c r="BR35" i="17"/>
  <c r="BQ35" i="17"/>
  <c r="BP35" i="17"/>
  <c r="BN35" i="17"/>
  <c r="BM35" i="17"/>
  <c r="BL35" i="17"/>
  <c r="BF35" i="17"/>
  <c r="AL35" i="17"/>
  <c r="AI35" i="17" s="1"/>
  <c r="AK35" i="17"/>
  <c r="AJ35" i="17"/>
  <c r="AH35" i="17"/>
  <c r="AG35" i="17"/>
  <c r="N35" i="17"/>
  <c r="K35" i="17" s="1"/>
  <c r="M35" i="17"/>
  <c r="L35" i="17"/>
  <c r="J35" i="17"/>
  <c r="I35" i="17"/>
  <c r="BX34" i="17"/>
  <c r="BW34" i="17"/>
  <c r="BV34" i="17"/>
  <c r="BY34" i="17" s="1"/>
  <c r="BF34" i="17"/>
  <c r="AL34" i="17"/>
  <c r="AK34" i="17"/>
  <c r="AJ34" i="17"/>
  <c r="AH34" i="17"/>
  <c r="AG34" i="17"/>
  <c r="N34" i="17"/>
  <c r="K34" i="17" s="1"/>
  <c r="M34" i="17"/>
  <c r="L34" i="17"/>
  <c r="J34" i="17"/>
  <c r="I34" i="17"/>
  <c r="BX33" i="17"/>
  <c r="BW33" i="17"/>
  <c r="BV33" i="17"/>
  <c r="BY33" i="17" s="1"/>
  <c r="BF33" i="17"/>
  <c r="AL33" i="17"/>
  <c r="AI33" i="17" s="1"/>
  <c r="BE33" i="17" s="1"/>
  <c r="AK33" i="17"/>
  <c r="AJ33" i="17"/>
  <c r="AH33" i="17"/>
  <c r="AG33" i="17"/>
  <c r="N33" i="17"/>
  <c r="K33" i="17" s="1"/>
  <c r="M33" i="17"/>
  <c r="L33" i="17"/>
  <c r="J33" i="17"/>
  <c r="I33" i="17"/>
  <c r="BX32" i="17"/>
  <c r="BW32" i="17"/>
  <c r="BV32" i="17"/>
  <c r="BY32" i="17" s="1"/>
  <c r="BF32" i="17"/>
  <c r="AL32" i="17"/>
  <c r="AK32" i="17"/>
  <c r="AJ32" i="17"/>
  <c r="AH32" i="17"/>
  <c r="AG32" i="17"/>
  <c r="N32" i="17"/>
  <c r="K32" i="17" s="1"/>
  <c r="M32" i="17"/>
  <c r="L32" i="17"/>
  <c r="J32" i="17"/>
  <c r="I32" i="17"/>
  <c r="BX31" i="17"/>
  <c r="BW31" i="17"/>
  <c r="BV31" i="17"/>
  <c r="BY31" i="17" s="1"/>
  <c r="BF31" i="17"/>
  <c r="AL31" i="17"/>
  <c r="AI31" i="17" s="1"/>
  <c r="AK31" i="17"/>
  <c r="AJ31" i="17"/>
  <c r="AH31" i="17"/>
  <c r="AG31" i="17"/>
  <c r="N31" i="17"/>
  <c r="K31" i="17" s="1"/>
  <c r="M31" i="17"/>
  <c r="L31" i="17"/>
  <c r="J31" i="17"/>
  <c r="I31" i="17"/>
  <c r="BX30" i="17"/>
  <c r="BW30" i="17"/>
  <c r="BV30" i="17"/>
  <c r="BY30" i="17" s="1"/>
  <c r="BT30" i="17"/>
  <c r="BS30" i="17"/>
  <c r="BR30" i="17"/>
  <c r="BQ30" i="17"/>
  <c r="BP30" i="17"/>
  <c r="BN30" i="17"/>
  <c r="BM30" i="17"/>
  <c r="BL30" i="17"/>
  <c r="BF30" i="17"/>
  <c r="AL30" i="17"/>
  <c r="AI30" i="17" s="1"/>
  <c r="AK30" i="17"/>
  <c r="AJ30" i="17"/>
  <c r="AH30" i="17"/>
  <c r="AG30" i="17"/>
  <c r="N30" i="17"/>
  <c r="M30" i="17"/>
  <c r="L30" i="17"/>
  <c r="J30" i="17"/>
  <c r="I30" i="17"/>
  <c r="CF29" i="17"/>
  <c r="CE29" i="17"/>
  <c r="CD29" i="17"/>
  <c r="BX29" i="17"/>
  <c r="BW29" i="17"/>
  <c r="BV29" i="17"/>
  <c r="BF29" i="17"/>
  <c r="AL29" i="17"/>
  <c r="AK29" i="17"/>
  <c r="AJ29" i="17"/>
  <c r="AH29" i="17"/>
  <c r="AG29" i="17"/>
  <c r="N29" i="17"/>
  <c r="K29" i="17" s="1"/>
  <c r="M29" i="17"/>
  <c r="L29" i="17"/>
  <c r="J29" i="17"/>
  <c r="I29" i="17"/>
  <c r="BX28" i="17"/>
  <c r="BW28" i="17"/>
  <c r="BV28" i="17"/>
  <c r="BF28" i="17"/>
  <c r="AL28" i="17"/>
  <c r="AI28" i="17" s="1"/>
  <c r="AK28" i="17"/>
  <c r="AJ28" i="17"/>
  <c r="AH28" i="17"/>
  <c r="AG28" i="17"/>
  <c r="N28" i="17"/>
  <c r="K28" i="17" s="1"/>
  <c r="M28" i="17"/>
  <c r="L28" i="17"/>
  <c r="J28" i="17"/>
  <c r="I28" i="17"/>
  <c r="BX27" i="17"/>
  <c r="BW27" i="17"/>
  <c r="BV27" i="17"/>
  <c r="BF27" i="17"/>
  <c r="AL27" i="17"/>
  <c r="AK27" i="17"/>
  <c r="AJ27" i="17"/>
  <c r="AH27" i="17"/>
  <c r="AG27" i="17"/>
  <c r="N27" i="17"/>
  <c r="K27" i="17" s="1"/>
  <c r="M27" i="17"/>
  <c r="L27" i="17"/>
  <c r="J27" i="17"/>
  <c r="I27" i="17"/>
  <c r="BX26" i="17"/>
  <c r="BW26" i="17"/>
  <c r="BV26" i="17"/>
  <c r="BF26" i="17"/>
  <c r="AL26" i="17"/>
  <c r="AI26" i="17" s="1"/>
  <c r="AK26" i="17"/>
  <c r="AJ26" i="17"/>
  <c r="AH26" i="17"/>
  <c r="AG26" i="17"/>
  <c r="N26" i="17"/>
  <c r="K26" i="17" s="1"/>
  <c r="M26" i="17"/>
  <c r="L26" i="17"/>
  <c r="J26" i="17"/>
  <c r="I26" i="17"/>
  <c r="BX25" i="17"/>
  <c r="BW25" i="17"/>
  <c r="BV25" i="17"/>
  <c r="BF25" i="17"/>
  <c r="AL25" i="17"/>
  <c r="AK25" i="17"/>
  <c r="AJ25" i="17"/>
  <c r="AH25" i="17"/>
  <c r="AG25" i="17"/>
  <c r="N25" i="17"/>
  <c r="M25" i="17"/>
  <c r="L25" i="17"/>
  <c r="J25" i="17"/>
  <c r="I25" i="17"/>
  <c r="CF24" i="17"/>
  <c r="CE24" i="17"/>
  <c r="CD24" i="17"/>
  <c r="BX24" i="17"/>
  <c r="BW24" i="17"/>
  <c r="BV24" i="17"/>
  <c r="BF24" i="17"/>
  <c r="AL24" i="17"/>
  <c r="AK24" i="17"/>
  <c r="AJ24" i="17"/>
  <c r="AH24" i="17"/>
  <c r="AG24" i="17"/>
  <c r="N24" i="17"/>
  <c r="M24" i="17"/>
  <c r="L24" i="17"/>
  <c r="K24" i="17"/>
  <c r="J24" i="17"/>
  <c r="I24" i="17"/>
  <c r="BX23" i="17"/>
  <c r="BW23" i="17"/>
  <c r="BV23" i="17"/>
  <c r="BF23" i="17"/>
  <c r="AL23" i="17"/>
  <c r="AI23" i="17" s="1"/>
  <c r="AK23" i="17"/>
  <c r="AJ23" i="17"/>
  <c r="AH23" i="17"/>
  <c r="AG23" i="17"/>
  <c r="N23" i="17"/>
  <c r="K23" i="17" s="1"/>
  <c r="M23" i="17"/>
  <c r="L23" i="17"/>
  <c r="J23" i="17"/>
  <c r="I23" i="17"/>
  <c r="BX22" i="17"/>
  <c r="BW22" i="17"/>
  <c r="BV22" i="17"/>
  <c r="BF22" i="17"/>
  <c r="AL22" i="17"/>
  <c r="AK22" i="17"/>
  <c r="AJ22" i="17"/>
  <c r="AH22" i="17"/>
  <c r="AG22" i="17"/>
  <c r="N22" i="17"/>
  <c r="K22" i="17" s="1"/>
  <c r="M22" i="17"/>
  <c r="L22" i="17"/>
  <c r="J22" i="17"/>
  <c r="I22" i="17"/>
  <c r="BX21" i="17"/>
  <c r="BW21" i="17"/>
  <c r="BV21" i="17"/>
  <c r="BF21" i="17"/>
  <c r="AL21" i="17"/>
  <c r="AI21" i="17" s="1"/>
  <c r="AK21" i="17"/>
  <c r="AJ21" i="17"/>
  <c r="AH21" i="17"/>
  <c r="AG21" i="17"/>
  <c r="N21" i="17"/>
  <c r="K21" i="17" s="1"/>
  <c r="M21" i="17"/>
  <c r="L21" i="17"/>
  <c r="J21" i="17"/>
  <c r="I21" i="17"/>
  <c r="BX20" i="17"/>
  <c r="BW20" i="17"/>
  <c r="BV20" i="17"/>
  <c r="BF20" i="17"/>
  <c r="AL20" i="17"/>
  <c r="AK20" i="17"/>
  <c r="AJ20" i="17"/>
  <c r="AH20" i="17"/>
  <c r="AG20" i="17"/>
  <c r="N20" i="17"/>
  <c r="M20" i="17"/>
  <c r="L20" i="17"/>
  <c r="J20" i="17"/>
  <c r="I20" i="17"/>
  <c r="CF19" i="17"/>
  <c r="CE19" i="17"/>
  <c r="CD19" i="17"/>
  <c r="BX19" i="17"/>
  <c r="BW19" i="17"/>
  <c r="BV19" i="17"/>
  <c r="BF19" i="17"/>
  <c r="AL19" i="17"/>
  <c r="AK19" i="17"/>
  <c r="AJ19" i="17"/>
  <c r="AH19" i="17"/>
  <c r="AG19" i="17"/>
  <c r="N19" i="17"/>
  <c r="K19" i="17" s="1"/>
  <c r="M19" i="17"/>
  <c r="L19" i="17"/>
  <c r="J19" i="17"/>
  <c r="I19" i="17"/>
  <c r="BX18" i="17"/>
  <c r="BW18" i="17"/>
  <c r="BV18" i="17"/>
  <c r="BF18" i="17"/>
  <c r="AL18" i="17"/>
  <c r="AI18" i="17" s="1"/>
  <c r="AK18" i="17"/>
  <c r="AJ18" i="17"/>
  <c r="AH18" i="17"/>
  <c r="AG18" i="17"/>
  <c r="N18" i="17"/>
  <c r="K18" i="17" s="1"/>
  <c r="M18" i="17"/>
  <c r="L18" i="17"/>
  <c r="J18" i="17"/>
  <c r="I18" i="17"/>
  <c r="BX17" i="17"/>
  <c r="BW17" i="17"/>
  <c r="BV17" i="17"/>
  <c r="BF17" i="17"/>
  <c r="AL17" i="17"/>
  <c r="AK17" i="17"/>
  <c r="AJ17" i="17"/>
  <c r="AH17" i="17"/>
  <c r="AG17" i="17"/>
  <c r="N17" i="17"/>
  <c r="K17" i="17" s="1"/>
  <c r="M17" i="17"/>
  <c r="L17" i="17"/>
  <c r="J17" i="17"/>
  <c r="I17" i="17"/>
  <c r="BX16" i="17"/>
  <c r="BW16" i="17"/>
  <c r="BV16" i="17"/>
  <c r="BF16" i="17"/>
  <c r="AL16" i="17"/>
  <c r="AI16" i="17" s="1"/>
  <c r="AK16" i="17"/>
  <c r="AJ16" i="17"/>
  <c r="AH16" i="17"/>
  <c r="AG16" i="17"/>
  <c r="N16" i="17"/>
  <c r="K16" i="17" s="1"/>
  <c r="M16" i="17"/>
  <c r="L16" i="17"/>
  <c r="J16" i="17"/>
  <c r="I16" i="17"/>
  <c r="BX15" i="17"/>
  <c r="BW15" i="17"/>
  <c r="BV15" i="17"/>
  <c r="BF15" i="17"/>
  <c r="AL15" i="17"/>
  <c r="AK15" i="17"/>
  <c r="AJ15" i="17"/>
  <c r="AH15" i="17"/>
  <c r="AG15" i="17"/>
  <c r="N15" i="17"/>
  <c r="M15" i="17"/>
  <c r="L15" i="17"/>
  <c r="J15" i="17"/>
  <c r="I15" i="17"/>
  <c r="CF14" i="17"/>
  <c r="CE14" i="17"/>
  <c r="CD14" i="17"/>
  <c r="BX14" i="17"/>
  <c r="BW14" i="17"/>
  <c r="BV14" i="17"/>
  <c r="BF14" i="17"/>
  <c r="AL14" i="17"/>
  <c r="AK14" i="17"/>
  <c r="AJ14" i="17"/>
  <c r="AH14" i="17"/>
  <c r="AG14" i="17"/>
  <c r="N14" i="17"/>
  <c r="K14" i="17" s="1"/>
  <c r="M14" i="17"/>
  <c r="L14" i="17"/>
  <c r="J14" i="17"/>
  <c r="I14" i="17"/>
  <c r="BX13" i="17"/>
  <c r="BW13" i="17"/>
  <c r="BV13" i="17"/>
  <c r="BF13" i="17"/>
  <c r="AL13" i="17"/>
  <c r="AI13" i="17" s="1"/>
  <c r="AK13" i="17"/>
  <c r="AJ13" i="17"/>
  <c r="AH13" i="17"/>
  <c r="AG13" i="17"/>
  <c r="N13" i="17"/>
  <c r="K13" i="17" s="1"/>
  <c r="M13" i="17"/>
  <c r="L13" i="17"/>
  <c r="J13" i="17"/>
  <c r="I13" i="17"/>
  <c r="BX12" i="17"/>
  <c r="BW12" i="17"/>
  <c r="BV12" i="17"/>
  <c r="BF12" i="17"/>
  <c r="AL12" i="17"/>
  <c r="AK12" i="17"/>
  <c r="AJ12" i="17"/>
  <c r="AH12" i="17"/>
  <c r="AG12" i="17"/>
  <c r="N12" i="17"/>
  <c r="K12" i="17" s="1"/>
  <c r="M12" i="17"/>
  <c r="L12" i="17"/>
  <c r="J12" i="17"/>
  <c r="I12" i="17"/>
  <c r="BX11" i="17"/>
  <c r="BW11" i="17"/>
  <c r="BV11" i="17"/>
  <c r="BF11" i="17"/>
  <c r="AL11" i="17"/>
  <c r="AI11" i="17" s="1"/>
  <c r="AK11" i="17"/>
  <c r="AJ11" i="17"/>
  <c r="AH11" i="17"/>
  <c r="AG11" i="17"/>
  <c r="N11" i="17"/>
  <c r="K11" i="17" s="1"/>
  <c r="M11" i="17"/>
  <c r="L11" i="17"/>
  <c r="J11" i="17"/>
  <c r="I11" i="17"/>
  <c r="BX10" i="17"/>
  <c r="BW10" i="17"/>
  <c r="BV10" i="17"/>
  <c r="BF10" i="17"/>
  <c r="AL10" i="17"/>
  <c r="AK10" i="17"/>
  <c r="AJ10" i="17"/>
  <c r="AH10" i="17"/>
  <c r="AG10" i="17"/>
  <c r="N10" i="17"/>
  <c r="M10" i="17"/>
  <c r="L10" i="17"/>
  <c r="J10" i="17"/>
  <c r="I10" i="17"/>
  <c r="CF9" i="17"/>
  <c r="CE9" i="17"/>
  <c r="CD9" i="17"/>
  <c r="BX9" i="17"/>
  <c r="BW9" i="17"/>
  <c r="BV9" i="17"/>
  <c r="BF9" i="17"/>
  <c r="AL9" i="17"/>
  <c r="AK9" i="17"/>
  <c r="AJ9" i="17"/>
  <c r="AH9" i="17"/>
  <c r="AG9" i="17"/>
  <c r="N9" i="17"/>
  <c r="K9" i="17" s="1"/>
  <c r="M9" i="17"/>
  <c r="L9" i="17"/>
  <c r="J9" i="17"/>
  <c r="I9" i="17"/>
  <c r="BX8" i="17"/>
  <c r="BW8" i="17"/>
  <c r="BV8" i="17"/>
  <c r="BF8" i="17"/>
  <c r="AL8" i="17"/>
  <c r="AI8" i="17" s="1"/>
  <c r="BE8" i="17" s="1"/>
  <c r="AK8" i="17"/>
  <c r="AJ8" i="17"/>
  <c r="AH8" i="17"/>
  <c r="AG8" i="17"/>
  <c r="N8" i="17"/>
  <c r="K8" i="17" s="1"/>
  <c r="M8" i="17"/>
  <c r="L8" i="17"/>
  <c r="J8" i="17"/>
  <c r="I8" i="17"/>
  <c r="BX7" i="17"/>
  <c r="BW7" i="17"/>
  <c r="BV7" i="17"/>
  <c r="BF7" i="17"/>
  <c r="AL7" i="17"/>
  <c r="AK7" i="17"/>
  <c r="AJ7" i="17"/>
  <c r="AH7" i="17"/>
  <c r="AG7" i="17"/>
  <c r="N7" i="17"/>
  <c r="K7" i="17" s="1"/>
  <c r="M7" i="17"/>
  <c r="L7" i="17"/>
  <c r="J7" i="17"/>
  <c r="I7" i="17"/>
  <c r="BX6" i="17"/>
  <c r="BW6" i="17"/>
  <c r="BV6" i="17"/>
  <c r="BF6" i="17"/>
  <c r="AL6" i="17"/>
  <c r="AI6" i="17" s="1"/>
  <c r="AK6" i="17"/>
  <c r="AJ6" i="17"/>
  <c r="AH6" i="17"/>
  <c r="AG6" i="17"/>
  <c r="N6" i="17"/>
  <c r="K6" i="17" s="1"/>
  <c r="M6" i="17"/>
  <c r="L6" i="17"/>
  <c r="J6" i="17"/>
  <c r="I6" i="17"/>
  <c r="BX5" i="17"/>
  <c r="CB9" i="17" s="1"/>
  <c r="BW5" i="17"/>
  <c r="BV5" i="17"/>
  <c r="BF5" i="17"/>
  <c r="AL5" i="17"/>
  <c r="AK5" i="17"/>
  <c r="AJ5" i="17"/>
  <c r="AH5" i="17"/>
  <c r="AG5" i="17"/>
  <c r="N5" i="17"/>
  <c r="M5" i="17"/>
  <c r="L5" i="17"/>
  <c r="J5" i="17"/>
  <c r="I5" i="17"/>
  <c r="AG1" i="17"/>
  <c r="I1" i="17"/>
  <c r="BJ25" i="26"/>
  <c r="BK5" i="26"/>
  <c r="BJ20" i="26"/>
  <c r="BK20" i="26"/>
  <c r="BL15" i="17"/>
  <c r="BR10" i="17"/>
  <c r="BK10" i="23"/>
  <c r="BJ15" i="23"/>
  <c r="BQ5" i="17"/>
  <c r="BN20" i="17"/>
  <c r="BT20" i="17"/>
  <c r="BL5" i="17"/>
  <c r="BJ25" i="22"/>
  <c r="BJ25" i="18"/>
  <c r="BJ25" i="23"/>
  <c r="BK20" i="23"/>
  <c r="BM25" i="17"/>
  <c r="BN10" i="17"/>
  <c r="BM15" i="17"/>
  <c r="BQ15" i="17"/>
  <c r="BL20" i="17"/>
  <c r="BR5" i="17"/>
  <c r="BS15" i="17"/>
  <c r="BM10" i="17"/>
  <c r="BT25" i="17"/>
  <c r="BP20" i="17"/>
  <c r="BL10" i="17"/>
  <c r="BQ10" i="17"/>
  <c r="BR15" i="17"/>
  <c r="BK5" i="18"/>
  <c r="BJ15" i="24"/>
  <c r="BJ15" i="22"/>
  <c r="BR20" i="17"/>
  <c r="BK20" i="18"/>
  <c r="BL25" i="17"/>
  <c r="BM5" i="17"/>
  <c r="BJ5" i="22"/>
  <c r="BQ25" i="17"/>
  <c r="BP5" i="17"/>
  <c r="BJ20" i="24"/>
  <c r="BS5" i="17"/>
  <c r="BJ5" i="18"/>
  <c r="BN15" i="17"/>
  <c r="BS10" i="17"/>
  <c r="BT10" i="17"/>
  <c r="BN5" i="17"/>
  <c r="BJ20" i="25"/>
  <c r="BS20" i="17"/>
  <c r="BQ20" i="17"/>
  <c r="BJ5" i="25"/>
  <c r="BS25" i="17"/>
  <c r="BN25" i="17"/>
  <c r="BP25" i="17"/>
  <c r="BM20" i="17"/>
  <c r="BR25" i="17"/>
  <c r="BJ10" i="22"/>
  <c r="BT15" i="17"/>
  <c r="BK25" i="22"/>
  <c r="BP15" i="17"/>
  <c r="BJ15" i="25"/>
  <c r="BJ20" i="23"/>
  <c r="BJ10" i="18"/>
  <c r="BP10" i="17"/>
  <c r="BJ20" i="18"/>
  <c r="BJ20" i="22"/>
  <c r="BJ15" i="18"/>
  <c r="BT5" i="17"/>
  <c r="BK15" i="18"/>
  <c r="CC24" i="26" l="1"/>
  <c r="CC29" i="26"/>
  <c r="AI41" i="26"/>
  <c r="BE41" i="26" s="1"/>
  <c r="CC14" i="26"/>
  <c r="CC19" i="26"/>
  <c r="BH43" i="26"/>
  <c r="CC9" i="26"/>
  <c r="BH40" i="26"/>
  <c r="BJ43" i="26"/>
  <c r="BJ40" i="26"/>
  <c r="BK43" i="26"/>
  <c r="BK40" i="26"/>
  <c r="BJ41" i="26"/>
  <c r="BE25" i="26"/>
  <c r="BE30" i="26"/>
  <c r="AI42" i="26"/>
  <c r="BE42" i="26" s="1"/>
  <c r="BE5" i="26"/>
  <c r="K43" i="26"/>
  <c r="K40" i="26"/>
  <c r="BE7" i="26"/>
  <c r="AI43" i="26"/>
  <c r="BE43" i="26" s="1"/>
  <c r="AI40" i="26"/>
  <c r="BE40" i="26" s="1"/>
  <c r="BY40" i="26"/>
  <c r="CC29" i="25"/>
  <c r="CC24" i="25"/>
  <c r="CC19" i="25"/>
  <c r="CC9" i="25"/>
  <c r="BH43" i="25"/>
  <c r="BJ43" i="25"/>
  <c r="BJ40" i="25"/>
  <c r="BH40" i="25"/>
  <c r="BK42" i="23"/>
  <c r="BY40" i="25"/>
  <c r="K41" i="25"/>
  <c r="BE25" i="25"/>
  <c r="AI42" i="25"/>
  <c r="BE42" i="25" s="1"/>
  <c r="AI41" i="25"/>
  <c r="K43" i="25"/>
  <c r="K40" i="25"/>
  <c r="BE5" i="25"/>
  <c r="AI43" i="25"/>
  <c r="AI40" i="25"/>
  <c r="BE40" i="25" s="1"/>
  <c r="CC14" i="24"/>
  <c r="CC19" i="24"/>
  <c r="AI40" i="24"/>
  <c r="BE40" i="24" s="1"/>
  <c r="CC24" i="24"/>
  <c r="BE20" i="24"/>
  <c r="CC9" i="24"/>
  <c r="CC29" i="24"/>
  <c r="BH43" i="24"/>
  <c r="BJ43" i="24"/>
  <c r="BJ40" i="24"/>
  <c r="AI43" i="24"/>
  <c r="BY40" i="24"/>
  <c r="AI41" i="24"/>
  <c r="K43" i="24"/>
  <c r="AI42" i="24"/>
  <c r="BE42" i="24" s="1"/>
  <c r="K41" i="24"/>
  <c r="BE25" i="24"/>
  <c r="K40" i="24"/>
  <c r="BH40" i="24"/>
  <c r="CC9" i="22"/>
  <c r="BE20" i="23"/>
  <c r="CC14" i="23"/>
  <c r="BE30" i="23"/>
  <c r="BG17" i="17"/>
  <c r="BG24" i="17"/>
  <c r="BE23" i="17"/>
  <c r="BH25" i="17" a="1"/>
  <c r="BG32" i="17"/>
  <c r="BY21" i="17"/>
  <c r="BK30" i="17"/>
  <c r="BK43" i="23"/>
  <c r="BK40" i="23"/>
  <c r="BJ41" i="23"/>
  <c r="K40" i="23"/>
  <c r="CC9" i="23"/>
  <c r="CC24" i="23"/>
  <c r="K43" i="23"/>
  <c r="BE20" i="22"/>
  <c r="BH40" i="23"/>
  <c r="CC19" i="23"/>
  <c r="CC29" i="23"/>
  <c r="AI41" i="23"/>
  <c r="BE41" i="23" s="1"/>
  <c r="BE25" i="23"/>
  <c r="BY40" i="23"/>
  <c r="BJ43" i="23"/>
  <c r="BJ40" i="23"/>
  <c r="K42" i="23"/>
  <c r="BH43" i="23"/>
  <c r="AI40" i="23"/>
  <c r="AI43" i="23"/>
  <c r="BE43" i="23" s="1"/>
  <c r="AI42" i="23"/>
  <c r="BK40" i="18"/>
  <c r="BH5" i="17" a="1"/>
  <c r="BH5" i="17" s="1"/>
  <c r="BY6" i="17"/>
  <c r="BY17" i="17"/>
  <c r="BE28" i="17"/>
  <c r="BE35" i="17"/>
  <c r="BG12" i="17"/>
  <c r="BG34" i="17"/>
  <c r="BC45" i="17"/>
  <c r="BG22" i="17"/>
  <c r="J42" i="17"/>
  <c r="AZ47" i="17"/>
  <c r="BG7" i="17"/>
  <c r="CA29" i="17"/>
  <c r="L42" i="17"/>
  <c r="BA47" i="17"/>
  <c r="CB14" i="17"/>
  <c r="BG19" i="17"/>
  <c r="BY22" i="17"/>
  <c r="CB29" i="17"/>
  <c r="M42" i="17"/>
  <c r="BH20" i="17" a="1"/>
  <c r="BH20" i="17" s="1"/>
  <c r="BZ9" i="17"/>
  <c r="BG35" i="17"/>
  <c r="BE18" i="17"/>
  <c r="BG33" i="17"/>
  <c r="CA9" i="17"/>
  <c r="BY20" i="17"/>
  <c r="BZ24" i="17"/>
  <c r="BH35" i="17" a="1"/>
  <c r="BH35" i="17" s="1"/>
  <c r="BJ35" i="17"/>
  <c r="CB24" i="17"/>
  <c r="J43" i="17"/>
  <c r="BG14" i="17"/>
  <c r="L41" i="17"/>
  <c r="BK35" i="17"/>
  <c r="BA45" i="17"/>
  <c r="BE13" i="17"/>
  <c r="BH15" i="17" a="1"/>
  <c r="BH15" i="17" s="1"/>
  <c r="BY16" i="17"/>
  <c r="M41" i="17"/>
  <c r="BG29" i="17"/>
  <c r="AJ42" i="17"/>
  <c r="BB45" i="17"/>
  <c r="AK42" i="17"/>
  <c r="J40" i="17"/>
  <c r="BY15" i="17"/>
  <c r="BZ19" i="17"/>
  <c r="BH30" i="17" a="1"/>
  <c r="BH30" i="17" s="1"/>
  <c r="BH42" i="17" s="1"/>
  <c r="L40" i="17"/>
  <c r="CA19" i="17"/>
  <c r="BG27" i="17"/>
  <c r="BY28" i="17"/>
  <c r="BY29" i="17"/>
  <c r="M40" i="17"/>
  <c r="BG9" i="17"/>
  <c r="BY12" i="17"/>
  <c r="CB19" i="17"/>
  <c r="BG38" i="17"/>
  <c r="BG39" i="17"/>
  <c r="J41" i="17"/>
  <c r="CA24" i="17"/>
  <c r="BH10" i="17" a="1"/>
  <c r="BY11" i="17"/>
  <c r="AH42" i="17"/>
  <c r="AI32" i="17"/>
  <c r="BE32" i="17" s="1"/>
  <c r="BE36" i="17"/>
  <c r="BY10" i="17"/>
  <c r="BZ14" i="17"/>
  <c r="CA14" i="17"/>
  <c r="BY25" i="17"/>
  <c r="BZ29" i="17"/>
  <c r="BE31" i="17"/>
  <c r="BG36" i="17"/>
  <c r="BB47" i="17"/>
  <c r="BK42" i="22"/>
  <c r="BE30" i="22"/>
  <c r="CC29" i="18"/>
  <c r="CC24" i="18"/>
  <c r="CC9" i="18"/>
  <c r="CC19" i="18"/>
  <c r="CC14" i="18"/>
  <c r="BK42" i="18"/>
  <c r="BK43" i="18"/>
  <c r="BE35" i="18"/>
  <c r="BE25" i="18"/>
  <c r="BK43" i="22"/>
  <c r="BK41" i="22"/>
  <c r="K42" i="22"/>
  <c r="K41" i="22"/>
  <c r="BJ42" i="22"/>
  <c r="BE10" i="22"/>
  <c r="CC19" i="22"/>
  <c r="BE15" i="22"/>
  <c r="BH40" i="22"/>
  <c r="BH43" i="22"/>
  <c r="CC14" i="22"/>
  <c r="AI41" i="22"/>
  <c r="BE25" i="22"/>
  <c r="CC29" i="22"/>
  <c r="CC24" i="22"/>
  <c r="BJ43" i="22"/>
  <c r="BJ40" i="22"/>
  <c r="BJ41" i="22"/>
  <c r="AI40" i="22"/>
  <c r="K43" i="22"/>
  <c r="K40" i="22"/>
  <c r="AI42" i="22"/>
  <c r="BM42" i="17"/>
  <c r="BE33" i="22"/>
  <c r="BN42" i="17"/>
  <c r="AI43" i="22"/>
  <c r="BT42" i="17"/>
  <c r="BS42" i="17"/>
  <c r="BH43" i="18"/>
  <c r="BH40" i="18"/>
  <c r="BJ43" i="18"/>
  <c r="BJ40" i="18"/>
  <c r="BJ41" i="18"/>
  <c r="AI43" i="18"/>
  <c r="AI40" i="18"/>
  <c r="K42" i="18"/>
  <c r="BE30" i="18"/>
  <c r="AI42" i="18"/>
  <c r="BY40" i="18"/>
  <c r="AI41" i="18"/>
  <c r="BE41" i="18" s="1"/>
  <c r="K43" i="18"/>
  <c r="K40" i="18"/>
  <c r="BJ42" i="18"/>
  <c r="AI15" i="17"/>
  <c r="BY18" i="17"/>
  <c r="AI10" i="17"/>
  <c r="BY13" i="17"/>
  <c r="AH40" i="17"/>
  <c r="BH10" i="17"/>
  <c r="AH41" i="17"/>
  <c r="AI5" i="17"/>
  <c r="BY8" i="17"/>
  <c r="AI25" i="17"/>
  <c r="AJ43" i="17"/>
  <c r="AJ41" i="17"/>
  <c r="BY7" i="17"/>
  <c r="BY27" i="17"/>
  <c r="BH25" i="17"/>
  <c r="BH41" i="17" s="1"/>
  <c r="AI20" i="17"/>
  <c r="BY23" i="17"/>
  <c r="BY26" i="17"/>
  <c r="BL42" i="17"/>
  <c r="BP42" i="17"/>
  <c r="BQ42" i="17"/>
  <c r="BR42" i="17"/>
  <c r="AK43" i="17"/>
  <c r="AK41" i="17"/>
  <c r="BG28" i="17"/>
  <c r="BY24" i="17"/>
  <c r="BY9" i="17"/>
  <c r="BV40" i="17"/>
  <c r="BX40" i="17"/>
  <c r="BG8" i="17"/>
  <c r="BG13" i="17"/>
  <c r="BY14" i="17"/>
  <c r="BY19" i="17"/>
  <c r="BW43" i="17"/>
  <c r="BX43" i="17"/>
  <c r="BG18" i="17"/>
  <c r="BG23" i="17"/>
  <c r="AZ45" i="17"/>
  <c r="AI7" i="17"/>
  <c r="BE7" i="17" s="1"/>
  <c r="AI12" i="17"/>
  <c r="BE12" i="17" s="1"/>
  <c r="AI17" i="17"/>
  <c r="BE17" i="17" s="1"/>
  <c r="AI22" i="17"/>
  <c r="BE22" i="17" s="1"/>
  <c r="AI27" i="17"/>
  <c r="BE27" i="17" s="1"/>
  <c r="BS41" i="17"/>
  <c r="BT40" i="17"/>
  <c r="BT43" i="17"/>
  <c r="BR41" i="17"/>
  <c r="BT41" i="17"/>
  <c r="BR40" i="17"/>
  <c r="BR43" i="17"/>
  <c r="BP43" i="17"/>
  <c r="BP40" i="17"/>
  <c r="BP41" i="17"/>
  <c r="BL43" i="17"/>
  <c r="BL40" i="17"/>
  <c r="BL41" i="17"/>
  <c r="BM43" i="17"/>
  <c r="BM40" i="17"/>
  <c r="BM41" i="17"/>
  <c r="BN43" i="17"/>
  <c r="BN40" i="17"/>
  <c r="BN41" i="17"/>
  <c r="BQ40" i="17"/>
  <c r="BQ43" i="17"/>
  <c r="BQ41" i="17"/>
  <c r="BS40" i="17"/>
  <c r="BS43" i="17"/>
  <c r="BE6" i="17"/>
  <c r="BE11" i="17"/>
  <c r="BE16" i="17"/>
  <c r="BE21" i="17"/>
  <c r="BE26" i="17"/>
  <c r="BE38" i="17"/>
  <c r="BE39" i="17"/>
  <c r="BE37" i="17"/>
  <c r="AJ40" i="17"/>
  <c r="BG6" i="17"/>
  <c r="BG11" i="17"/>
  <c r="BG16" i="17"/>
  <c r="BG21" i="17"/>
  <c r="BG26" i="17"/>
  <c r="BG31" i="17"/>
  <c r="AK40" i="17"/>
  <c r="L43" i="17"/>
  <c r="BG5" i="17"/>
  <c r="BY5" i="17"/>
  <c r="BG10" i="17"/>
  <c r="BG15" i="17"/>
  <c r="BG20" i="17"/>
  <c r="BG25" i="17"/>
  <c r="BG30" i="17"/>
  <c r="M43" i="17"/>
  <c r="BW40" i="17"/>
  <c r="AH43" i="17"/>
  <c r="BV43" i="17"/>
  <c r="BY43" i="17" s="1"/>
  <c r="AI9" i="17"/>
  <c r="BE9" i="17" s="1"/>
  <c r="AI14" i="17"/>
  <c r="BE14" i="17" s="1"/>
  <c r="AI19" i="17"/>
  <c r="BE19" i="17" s="1"/>
  <c r="AI24" i="17"/>
  <c r="BE24" i="17" s="1"/>
  <c r="AI29" i="17"/>
  <c r="BE29" i="17" s="1"/>
  <c r="AI34" i="17"/>
  <c r="BE34" i="17" s="1"/>
  <c r="BJ30" i="17"/>
  <c r="BG37" i="17"/>
  <c r="K5" i="17"/>
  <c r="K10" i="17"/>
  <c r="K15" i="17"/>
  <c r="K20" i="17"/>
  <c r="K25" i="17"/>
  <c r="K41" i="17" s="1"/>
  <c r="K30" i="17"/>
  <c r="K42" i="17" s="1"/>
  <c r="BK10" i="17"/>
  <c r="BK25" i="17"/>
  <c r="BJ5" i="17"/>
  <c r="BJ10" i="17"/>
  <c r="BK20" i="17"/>
  <c r="BK15" i="17"/>
  <c r="BK5" i="17"/>
  <c r="BJ25" i="17"/>
  <c r="BJ15" i="17"/>
  <c r="BJ20" i="17"/>
  <c r="BE43" i="25" l="1"/>
  <c r="BE41" i="25"/>
  <c r="BE41" i="24"/>
  <c r="BE43" i="24"/>
  <c r="BE40" i="23"/>
  <c r="BK42" i="17"/>
  <c r="CC9" i="17"/>
  <c r="BE20" i="17"/>
  <c r="BE25" i="17"/>
  <c r="BE42" i="23"/>
  <c r="BJ42" i="17"/>
  <c r="CC29" i="17"/>
  <c r="BH43" i="17"/>
  <c r="CC14" i="17"/>
  <c r="BH40" i="17"/>
  <c r="CC19" i="17"/>
  <c r="CC24" i="17"/>
  <c r="BY40" i="17"/>
  <c r="BE40" i="18"/>
  <c r="BE41" i="22"/>
  <c r="BE42" i="22"/>
  <c r="BE40" i="22"/>
  <c r="BE43" i="22"/>
  <c r="BE42" i="18"/>
  <c r="BE43" i="18"/>
  <c r="BK41" i="17"/>
  <c r="BE10" i="17"/>
  <c r="BE15" i="17"/>
  <c r="BK43" i="17"/>
  <c r="BK40" i="17"/>
  <c r="BJ41" i="17"/>
  <c r="BJ43" i="17"/>
  <c r="BJ40" i="17"/>
  <c r="AI41" i="17"/>
  <c r="BE41" i="17" s="1"/>
  <c r="AI43" i="17"/>
  <c r="AI40" i="17"/>
  <c r="K40" i="17"/>
  <c r="K43" i="17"/>
  <c r="BE30" i="17"/>
  <c r="AI42" i="17"/>
  <c r="BE42" i="17" s="1"/>
  <c r="BE5" i="17"/>
  <c r="BE40" i="17" l="1"/>
  <c r="BE43" i="17"/>
  <c r="CF24" i="15" l="1"/>
  <c r="BC46" i="15"/>
  <c r="BB46" i="15"/>
  <c r="BA46" i="15"/>
  <c r="AZ46" i="15"/>
  <c r="AE46" i="15"/>
  <c r="AD46" i="15"/>
  <c r="AC46" i="15"/>
  <c r="AB46" i="15"/>
  <c r="BC44" i="15"/>
  <c r="BB44" i="15"/>
  <c r="BA44" i="15"/>
  <c r="AZ44" i="15"/>
  <c r="AZ45" i="15" s="1"/>
  <c r="AE44" i="15"/>
  <c r="AD44" i="15"/>
  <c r="AC44" i="15"/>
  <c r="AB44" i="15"/>
  <c r="BX39" i="15"/>
  <c r="BW39" i="15"/>
  <c r="BV39" i="15"/>
  <c r="BY39" i="15" s="1"/>
  <c r="BF39" i="15"/>
  <c r="AL39" i="15"/>
  <c r="AK39" i="15"/>
  <c r="AJ39" i="15"/>
  <c r="AH39" i="15"/>
  <c r="AG39" i="15"/>
  <c r="N39" i="15"/>
  <c r="K39" i="15" s="1"/>
  <c r="M39" i="15"/>
  <c r="L39" i="15"/>
  <c r="J39" i="15"/>
  <c r="I39" i="15"/>
  <c r="BY38" i="15"/>
  <c r="BX38" i="15"/>
  <c r="BW38" i="15"/>
  <c r="BV38" i="15"/>
  <c r="BF38" i="15"/>
  <c r="AL38" i="15"/>
  <c r="AI38" i="15" s="1"/>
  <c r="AK38" i="15"/>
  <c r="AJ38" i="15"/>
  <c r="AH38" i="15"/>
  <c r="AG38" i="15"/>
  <c r="N38" i="15"/>
  <c r="K38" i="15" s="1"/>
  <c r="M38" i="15"/>
  <c r="L38" i="15"/>
  <c r="J38" i="15"/>
  <c r="I38" i="15"/>
  <c r="BX37" i="15"/>
  <c r="BW37" i="15"/>
  <c r="BV37" i="15"/>
  <c r="BY37" i="15" s="1"/>
  <c r="BF37" i="15"/>
  <c r="AL37" i="15"/>
  <c r="AK37" i="15"/>
  <c r="AJ37" i="15"/>
  <c r="AI37" i="15"/>
  <c r="AH37" i="15"/>
  <c r="AG37" i="15"/>
  <c r="N37" i="15"/>
  <c r="K37" i="15" s="1"/>
  <c r="M37" i="15"/>
  <c r="L37" i="15"/>
  <c r="J37" i="15"/>
  <c r="I37" i="15"/>
  <c r="BX36" i="15"/>
  <c r="BW36" i="15"/>
  <c r="BV36" i="15"/>
  <c r="BY36" i="15" s="1"/>
  <c r="BF36" i="15"/>
  <c r="AL36" i="15"/>
  <c r="BG36" i="15" s="1"/>
  <c r="AK36" i="15"/>
  <c r="AJ36" i="15"/>
  <c r="AH36" i="15"/>
  <c r="AG36" i="15"/>
  <c r="N36" i="15"/>
  <c r="K36" i="15" s="1"/>
  <c r="M36" i="15"/>
  <c r="L36" i="15"/>
  <c r="J36" i="15"/>
  <c r="I36" i="15"/>
  <c r="BX35" i="15"/>
  <c r="BW35" i="15"/>
  <c r="BV35" i="15"/>
  <c r="BY35" i="15" s="1"/>
  <c r="BT35" i="15"/>
  <c r="BS35" i="15"/>
  <c r="BR35" i="15"/>
  <c r="BQ35" i="15"/>
  <c r="BP35" i="15"/>
  <c r="BN35" i="15"/>
  <c r="BM35" i="15"/>
  <c r="BL35" i="15"/>
  <c r="BF35" i="15"/>
  <c r="AL35" i="15"/>
  <c r="AI35" i="15" s="1"/>
  <c r="AK35" i="15"/>
  <c r="AJ35" i="15"/>
  <c r="AH35" i="15"/>
  <c r="AG35" i="15"/>
  <c r="N35" i="15"/>
  <c r="BH35" i="15" s="1" a="1"/>
  <c r="BH35" i="15" s="1"/>
  <c r="M35" i="15"/>
  <c r="L35" i="15"/>
  <c r="J35" i="15"/>
  <c r="I35" i="15"/>
  <c r="BX34" i="15"/>
  <c r="BW34" i="15"/>
  <c r="BV34" i="15"/>
  <c r="BY34" i="15" s="1"/>
  <c r="BF34" i="15"/>
  <c r="AL34" i="15"/>
  <c r="AK34" i="15"/>
  <c r="AJ34" i="15"/>
  <c r="AH34" i="15"/>
  <c r="AG34" i="15"/>
  <c r="N34" i="15"/>
  <c r="K34" i="15" s="1"/>
  <c r="M34" i="15"/>
  <c r="L34" i="15"/>
  <c r="J34" i="15"/>
  <c r="I34" i="15"/>
  <c r="BX33" i="15"/>
  <c r="BW33" i="15"/>
  <c r="BV33" i="15"/>
  <c r="BY33" i="15" s="1"/>
  <c r="BF33" i="15"/>
  <c r="AL33" i="15"/>
  <c r="BG33" i="15" s="1"/>
  <c r="AK33" i="15"/>
  <c r="AJ33" i="15"/>
  <c r="AH33" i="15"/>
  <c r="AG33" i="15"/>
  <c r="N33" i="15"/>
  <c r="K33" i="15" s="1"/>
  <c r="M33" i="15"/>
  <c r="L33" i="15"/>
  <c r="J33" i="15"/>
  <c r="I33" i="15"/>
  <c r="BX32" i="15"/>
  <c r="BW32" i="15"/>
  <c r="BV32" i="15"/>
  <c r="BY32" i="15" s="1"/>
  <c r="BF32" i="15"/>
  <c r="AL32" i="15"/>
  <c r="BG32" i="15" s="1"/>
  <c r="AK32" i="15"/>
  <c r="AJ32" i="15"/>
  <c r="AH32" i="15"/>
  <c r="AG32" i="15"/>
  <c r="N32" i="15"/>
  <c r="K32" i="15" s="1"/>
  <c r="M32" i="15"/>
  <c r="L32" i="15"/>
  <c r="J32" i="15"/>
  <c r="I32" i="15"/>
  <c r="BX31" i="15"/>
  <c r="BW31" i="15"/>
  <c r="BV31" i="15"/>
  <c r="BY31" i="15" s="1"/>
  <c r="BF31" i="15"/>
  <c r="AL31" i="15"/>
  <c r="AI31" i="15" s="1"/>
  <c r="AK31" i="15"/>
  <c r="AJ31" i="15"/>
  <c r="AH31" i="15"/>
  <c r="AG31" i="15"/>
  <c r="N31" i="15"/>
  <c r="K31" i="15" s="1"/>
  <c r="M31" i="15"/>
  <c r="L31" i="15"/>
  <c r="J31" i="15"/>
  <c r="I31" i="15"/>
  <c r="BX30" i="15"/>
  <c r="BW30" i="15"/>
  <c r="BV30" i="15"/>
  <c r="BY30" i="15" s="1"/>
  <c r="BT30" i="15"/>
  <c r="BS30" i="15"/>
  <c r="BR30" i="15"/>
  <c r="BQ30" i="15"/>
  <c r="BP30" i="15"/>
  <c r="BN30" i="15"/>
  <c r="BM30" i="15"/>
  <c r="BL30" i="15"/>
  <c r="BF30" i="15"/>
  <c r="AL30" i="15"/>
  <c r="AI30" i="15" s="1"/>
  <c r="AK30" i="15"/>
  <c r="AJ30" i="15"/>
  <c r="AH30" i="15"/>
  <c r="AG30" i="15"/>
  <c r="N30" i="15"/>
  <c r="BK30" i="15" s="1"/>
  <c r="M30" i="15"/>
  <c r="L30" i="15"/>
  <c r="J30" i="15"/>
  <c r="I30" i="15"/>
  <c r="CF29" i="15"/>
  <c r="CE29" i="15"/>
  <c r="CD29" i="15"/>
  <c r="BX29" i="15"/>
  <c r="BW29" i="15"/>
  <c r="BV29" i="15"/>
  <c r="BF29" i="15"/>
  <c r="AL29" i="15"/>
  <c r="AK29" i="15"/>
  <c r="AJ29" i="15"/>
  <c r="AH29" i="15"/>
  <c r="AG29" i="15"/>
  <c r="N29" i="15"/>
  <c r="K29" i="15" s="1"/>
  <c r="M29" i="15"/>
  <c r="L29" i="15"/>
  <c r="J29" i="15"/>
  <c r="I29" i="15"/>
  <c r="BX28" i="15"/>
  <c r="BW28" i="15"/>
  <c r="BV28" i="15"/>
  <c r="BF28" i="15"/>
  <c r="AL28" i="15"/>
  <c r="AI28" i="15" s="1"/>
  <c r="AK28" i="15"/>
  <c r="AJ28" i="15"/>
  <c r="AH28" i="15"/>
  <c r="AG28" i="15"/>
  <c r="N28" i="15"/>
  <c r="M28" i="15"/>
  <c r="L28" i="15"/>
  <c r="K28" i="15"/>
  <c r="J28" i="15"/>
  <c r="I28" i="15"/>
  <c r="BX27" i="15"/>
  <c r="BW27" i="15"/>
  <c r="BV27" i="15"/>
  <c r="BF27" i="15"/>
  <c r="AL27" i="15"/>
  <c r="AI27" i="15" s="1"/>
  <c r="AK27" i="15"/>
  <c r="AJ27" i="15"/>
  <c r="AH27" i="15"/>
  <c r="AG27" i="15"/>
  <c r="N27" i="15"/>
  <c r="K27" i="15" s="1"/>
  <c r="M27" i="15"/>
  <c r="L27" i="15"/>
  <c r="J27" i="15"/>
  <c r="I27" i="15"/>
  <c r="BX26" i="15"/>
  <c r="BW26" i="15"/>
  <c r="BV26" i="15"/>
  <c r="BF26" i="15"/>
  <c r="AL26" i="15"/>
  <c r="AK26" i="15"/>
  <c r="AJ26" i="15"/>
  <c r="AH26" i="15"/>
  <c r="AG26" i="15"/>
  <c r="N26" i="15"/>
  <c r="K26" i="15" s="1"/>
  <c r="M26" i="15"/>
  <c r="L26" i="15"/>
  <c r="J26" i="15"/>
  <c r="I26" i="15"/>
  <c r="BX25" i="15"/>
  <c r="BW25" i="15"/>
  <c r="CA29" i="15" s="1"/>
  <c r="BV25" i="15"/>
  <c r="BF25" i="15"/>
  <c r="AL25" i="15"/>
  <c r="AK25" i="15"/>
  <c r="AJ25" i="15"/>
  <c r="AH25" i="15"/>
  <c r="AG25" i="15"/>
  <c r="N25" i="15"/>
  <c r="M25" i="15"/>
  <c r="L25" i="15"/>
  <c r="J25" i="15"/>
  <c r="I25" i="15"/>
  <c r="CE24" i="15"/>
  <c r="CD24" i="15"/>
  <c r="BX24" i="15"/>
  <c r="BW24" i="15"/>
  <c r="BV24" i="15"/>
  <c r="BF24" i="15"/>
  <c r="AL24" i="15"/>
  <c r="AK24" i="15"/>
  <c r="AJ24" i="15"/>
  <c r="AH24" i="15"/>
  <c r="AG24" i="15"/>
  <c r="N24" i="15"/>
  <c r="K24" i="15" s="1"/>
  <c r="M24" i="15"/>
  <c r="L24" i="15"/>
  <c r="J24" i="15"/>
  <c r="I24" i="15"/>
  <c r="BX23" i="15"/>
  <c r="BW23" i="15"/>
  <c r="BV23" i="15"/>
  <c r="BF23" i="15"/>
  <c r="AL23" i="15"/>
  <c r="AK23" i="15"/>
  <c r="AJ23" i="15"/>
  <c r="AH23" i="15"/>
  <c r="AG23" i="15"/>
  <c r="N23" i="15"/>
  <c r="K23" i="15" s="1"/>
  <c r="M23" i="15"/>
  <c r="L23" i="15"/>
  <c r="J23" i="15"/>
  <c r="I23" i="15"/>
  <c r="BX22" i="15"/>
  <c r="BW22" i="15"/>
  <c r="BV22" i="15"/>
  <c r="BF22" i="15"/>
  <c r="AL22" i="15"/>
  <c r="AI22" i="15" s="1"/>
  <c r="AK22" i="15"/>
  <c r="AJ22" i="15"/>
  <c r="AH22" i="15"/>
  <c r="AG22" i="15"/>
  <c r="N22" i="15"/>
  <c r="K22" i="15" s="1"/>
  <c r="M22" i="15"/>
  <c r="L22" i="15"/>
  <c r="J22" i="15"/>
  <c r="I22" i="15"/>
  <c r="BX21" i="15"/>
  <c r="BW21" i="15"/>
  <c r="BV21" i="15"/>
  <c r="BF21" i="15"/>
  <c r="AL21" i="15"/>
  <c r="AK21" i="15"/>
  <c r="AJ21" i="15"/>
  <c r="AH21" i="15"/>
  <c r="AG21" i="15"/>
  <c r="N21" i="15"/>
  <c r="K21" i="15" s="1"/>
  <c r="M21" i="15"/>
  <c r="L21" i="15"/>
  <c r="J21" i="15"/>
  <c r="I21" i="15"/>
  <c r="BX20" i="15"/>
  <c r="BW20" i="15"/>
  <c r="BV20" i="15"/>
  <c r="BF20" i="15"/>
  <c r="AL20" i="15"/>
  <c r="AK20" i="15"/>
  <c r="AJ20" i="15"/>
  <c r="AI20" i="15"/>
  <c r="AH20" i="15"/>
  <c r="AG20" i="15"/>
  <c r="N20" i="15"/>
  <c r="M20" i="15"/>
  <c r="L20" i="15"/>
  <c r="J20" i="15"/>
  <c r="I20" i="15"/>
  <c r="CF19" i="15"/>
  <c r="CE19" i="15"/>
  <c r="CD19" i="15"/>
  <c r="BX19" i="15"/>
  <c r="BW19" i="15"/>
  <c r="BV19" i="15"/>
  <c r="BF19" i="15"/>
  <c r="AL19" i="15"/>
  <c r="AK19" i="15"/>
  <c r="AJ19" i="15"/>
  <c r="AH19" i="15"/>
  <c r="AG19" i="15"/>
  <c r="N19" i="15"/>
  <c r="K19" i="15" s="1"/>
  <c r="M19" i="15"/>
  <c r="L19" i="15"/>
  <c r="J19" i="15"/>
  <c r="I19" i="15"/>
  <c r="BX18" i="15"/>
  <c r="BW18" i="15"/>
  <c r="BV18" i="15"/>
  <c r="BF18" i="15"/>
  <c r="AL18" i="15"/>
  <c r="AK18" i="15"/>
  <c r="AJ18" i="15"/>
  <c r="AI18" i="15"/>
  <c r="AH18" i="15"/>
  <c r="AG18" i="15"/>
  <c r="N18" i="15"/>
  <c r="M18" i="15"/>
  <c r="L18" i="15"/>
  <c r="K18" i="15"/>
  <c r="J18" i="15"/>
  <c r="I18" i="15"/>
  <c r="BX17" i="15"/>
  <c r="BW17" i="15"/>
  <c r="BV17" i="15"/>
  <c r="BF17" i="15"/>
  <c r="AL17" i="15"/>
  <c r="AI17" i="15" s="1"/>
  <c r="AK17" i="15"/>
  <c r="AJ17" i="15"/>
  <c r="AH17" i="15"/>
  <c r="AG17" i="15"/>
  <c r="N17" i="15"/>
  <c r="K17" i="15" s="1"/>
  <c r="M17" i="15"/>
  <c r="L17" i="15"/>
  <c r="J17" i="15"/>
  <c r="I17" i="15"/>
  <c r="BX16" i="15"/>
  <c r="BW16" i="15"/>
  <c r="BV16" i="15"/>
  <c r="BF16" i="15"/>
  <c r="AL16" i="15"/>
  <c r="AK16" i="15"/>
  <c r="AJ16" i="15"/>
  <c r="AI16" i="15"/>
  <c r="AH16" i="15"/>
  <c r="AG16" i="15"/>
  <c r="N16" i="15"/>
  <c r="K16" i="15" s="1"/>
  <c r="M16" i="15"/>
  <c r="L16" i="15"/>
  <c r="J16" i="15"/>
  <c r="I16" i="15"/>
  <c r="BX15" i="15"/>
  <c r="BW15" i="15"/>
  <c r="BV15" i="15"/>
  <c r="BF15" i="15"/>
  <c r="AL15" i="15"/>
  <c r="AI15" i="15" s="1"/>
  <c r="AK15" i="15"/>
  <c r="AJ15" i="15"/>
  <c r="AH15" i="15"/>
  <c r="AG15" i="15"/>
  <c r="N15" i="15"/>
  <c r="M15" i="15"/>
  <c r="L15" i="15"/>
  <c r="J15" i="15"/>
  <c r="I15" i="15"/>
  <c r="CF14" i="15"/>
  <c r="CE14" i="15"/>
  <c r="CD14" i="15"/>
  <c r="BX14" i="15"/>
  <c r="BW14" i="15"/>
  <c r="BV14" i="15"/>
  <c r="BF14" i="15"/>
  <c r="AL14" i="15"/>
  <c r="AK14" i="15"/>
  <c r="AJ14" i="15"/>
  <c r="AH14" i="15"/>
  <c r="AG14" i="15"/>
  <c r="N14" i="15"/>
  <c r="K14" i="15" s="1"/>
  <c r="M14" i="15"/>
  <c r="L14" i="15"/>
  <c r="J14" i="15"/>
  <c r="I14" i="15"/>
  <c r="BX13" i="15"/>
  <c r="BW13" i="15"/>
  <c r="BV13" i="15"/>
  <c r="BF13" i="15"/>
  <c r="AL13" i="15"/>
  <c r="AK13" i="15"/>
  <c r="AJ13" i="15"/>
  <c r="AH13" i="15"/>
  <c r="AG13" i="15"/>
  <c r="N13" i="15"/>
  <c r="K13" i="15" s="1"/>
  <c r="M13" i="15"/>
  <c r="L13" i="15"/>
  <c r="J13" i="15"/>
  <c r="I13" i="15"/>
  <c r="BX12" i="15"/>
  <c r="BW12" i="15"/>
  <c r="BV12" i="15"/>
  <c r="BF12" i="15"/>
  <c r="AL12" i="15"/>
  <c r="AI12" i="15" s="1"/>
  <c r="AK12" i="15"/>
  <c r="AJ12" i="15"/>
  <c r="AH12" i="15"/>
  <c r="AG12" i="15"/>
  <c r="N12" i="15"/>
  <c r="M12" i="15"/>
  <c r="L12" i="15"/>
  <c r="K12" i="15"/>
  <c r="J12" i="15"/>
  <c r="I12" i="15"/>
  <c r="BX11" i="15"/>
  <c r="BW11" i="15"/>
  <c r="BV11" i="15"/>
  <c r="BF11" i="15"/>
  <c r="AL11" i="15"/>
  <c r="AK11" i="15"/>
  <c r="AJ11" i="15"/>
  <c r="AH11" i="15"/>
  <c r="AG11" i="15"/>
  <c r="N11" i="15"/>
  <c r="K11" i="15" s="1"/>
  <c r="M11" i="15"/>
  <c r="L11" i="15"/>
  <c r="J11" i="15"/>
  <c r="I11" i="15"/>
  <c r="BX10" i="15"/>
  <c r="BW10" i="15"/>
  <c r="BV10" i="15"/>
  <c r="BF10" i="15"/>
  <c r="AL10" i="15"/>
  <c r="AK10" i="15"/>
  <c r="AJ10" i="15"/>
  <c r="AH10" i="15"/>
  <c r="AG10" i="15"/>
  <c r="N10" i="15"/>
  <c r="M10" i="15"/>
  <c r="L10" i="15"/>
  <c r="J10" i="15"/>
  <c r="I10" i="15"/>
  <c r="CF9" i="15"/>
  <c r="CE9" i="15"/>
  <c r="CD9" i="15"/>
  <c r="BX9" i="15"/>
  <c r="BW9" i="15"/>
  <c r="BV9" i="15"/>
  <c r="BF9" i="15"/>
  <c r="AL9" i="15"/>
  <c r="AK9" i="15"/>
  <c r="AJ9" i="15"/>
  <c r="AH9" i="15"/>
  <c r="AG9" i="15"/>
  <c r="N9" i="15"/>
  <c r="K9" i="15" s="1"/>
  <c r="M9" i="15"/>
  <c r="L9" i="15"/>
  <c r="J9" i="15"/>
  <c r="I9" i="15"/>
  <c r="BX8" i="15"/>
  <c r="BW8" i="15"/>
  <c r="BV8" i="15"/>
  <c r="BF8" i="15"/>
  <c r="AL8" i="15"/>
  <c r="AK8" i="15"/>
  <c r="AJ8" i="15"/>
  <c r="AH8" i="15"/>
  <c r="AG8" i="15"/>
  <c r="N8" i="15"/>
  <c r="K8" i="15" s="1"/>
  <c r="M8" i="15"/>
  <c r="L8" i="15"/>
  <c r="J8" i="15"/>
  <c r="I8" i="15"/>
  <c r="BX7" i="15"/>
  <c r="BW7" i="15"/>
  <c r="BV7" i="15"/>
  <c r="BF7" i="15"/>
  <c r="AL7" i="15"/>
  <c r="AI7" i="15" s="1"/>
  <c r="AK7" i="15"/>
  <c r="AJ7" i="15"/>
  <c r="AH7" i="15"/>
  <c r="AG7" i="15"/>
  <c r="N7" i="15"/>
  <c r="K7" i="15" s="1"/>
  <c r="M7" i="15"/>
  <c r="L7" i="15"/>
  <c r="J7" i="15"/>
  <c r="I7" i="15"/>
  <c r="BX6" i="15"/>
  <c r="BW6" i="15"/>
  <c r="BV6" i="15"/>
  <c r="BF6" i="15"/>
  <c r="AL6" i="15"/>
  <c r="AI6" i="15" s="1"/>
  <c r="AK6" i="15"/>
  <c r="AJ6" i="15"/>
  <c r="AH6" i="15"/>
  <c r="AG6" i="15"/>
  <c r="N6" i="15"/>
  <c r="K6" i="15" s="1"/>
  <c r="M6" i="15"/>
  <c r="L6" i="15"/>
  <c r="J6" i="15"/>
  <c r="I6" i="15"/>
  <c r="BX5" i="15"/>
  <c r="BW5" i="15"/>
  <c r="BV5" i="15"/>
  <c r="BF5" i="15"/>
  <c r="AL5" i="15"/>
  <c r="AI5" i="15" s="1"/>
  <c r="AK5" i="15"/>
  <c r="AJ5" i="15"/>
  <c r="AH5" i="15"/>
  <c r="AG5" i="15"/>
  <c r="N5" i="15"/>
  <c r="M5" i="15"/>
  <c r="L5" i="15"/>
  <c r="J5" i="15"/>
  <c r="I5" i="15"/>
  <c r="AG1" i="15"/>
  <c r="I1" i="15"/>
  <c r="BQ15" i="15"/>
  <c r="BL10" i="15"/>
  <c r="BP25" i="15"/>
  <c r="BM10" i="15"/>
  <c r="BT15" i="15"/>
  <c r="BQ5" i="15"/>
  <c r="BN5" i="15"/>
  <c r="BR5" i="15"/>
  <c r="BM15" i="15"/>
  <c r="BL5" i="15"/>
  <c r="BS20" i="15"/>
  <c r="BM20" i="15"/>
  <c r="BN20" i="15"/>
  <c r="BN15" i="15"/>
  <c r="BM25" i="15"/>
  <c r="BT5" i="15"/>
  <c r="BS10" i="15"/>
  <c r="BQ10" i="15"/>
  <c r="BR10" i="15"/>
  <c r="BT20" i="15"/>
  <c r="BP5" i="15"/>
  <c r="BS5" i="15"/>
  <c r="BT10" i="15"/>
  <c r="BR15" i="15"/>
  <c r="BK15" i="15"/>
  <c r="BM5" i="15"/>
  <c r="BL20" i="15"/>
  <c r="BS25" i="15"/>
  <c r="BR20" i="15"/>
  <c r="BP15" i="15"/>
  <c r="BT25" i="15"/>
  <c r="BQ25" i="15"/>
  <c r="BL15" i="15"/>
  <c r="BP20" i="15"/>
  <c r="BL25" i="15"/>
  <c r="BR25" i="15"/>
  <c r="BN10" i="15"/>
  <c r="BS15" i="15"/>
  <c r="BQ20" i="15"/>
  <c r="BP10" i="15"/>
  <c r="BN25" i="15"/>
  <c r="BG8" i="15" l="1"/>
  <c r="BG18" i="15"/>
  <c r="BG20" i="15"/>
  <c r="BG39" i="15"/>
  <c r="BE22" i="15"/>
  <c r="BY12" i="15"/>
  <c r="BY21" i="15"/>
  <c r="BA45" i="15"/>
  <c r="BC45" i="15"/>
  <c r="CA24" i="15"/>
  <c r="M41" i="15"/>
  <c r="AJ42" i="15"/>
  <c r="CB24" i="15"/>
  <c r="BE12" i="15"/>
  <c r="J40" i="15"/>
  <c r="BG11" i="15"/>
  <c r="BE27" i="15"/>
  <c r="AZ47" i="15"/>
  <c r="L41" i="15"/>
  <c r="BG9" i="15"/>
  <c r="BA47" i="15"/>
  <c r="BB47" i="15"/>
  <c r="BC47" i="15"/>
  <c r="J42" i="15"/>
  <c r="BE6" i="15"/>
  <c r="CA14" i="15"/>
  <c r="CB14" i="15"/>
  <c r="BG24" i="15"/>
  <c r="BG25" i="15"/>
  <c r="AI33" i="15"/>
  <c r="BE33" i="15" s="1"/>
  <c r="BG23" i="15"/>
  <c r="BZ29" i="15"/>
  <c r="BG34" i="15"/>
  <c r="BZ9" i="15"/>
  <c r="CA9" i="15"/>
  <c r="BG19" i="15"/>
  <c r="BG21" i="15"/>
  <c r="CB29" i="15"/>
  <c r="L42" i="15"/>
  <c r="BB45" i="15"/>
  <c r="BJ35" i="15"/>
  <c r="M42" i="15"/>
  <c r="BG14" i="15"/>
  <c r="BE17" i="15"/>
  <c r="BK35" i="15"/>
  <c r="BK42" i="15" s="1"/>
  <c r="BE37" i="15"/>
  <c r="BE18" i="15"/>
  <c r="BG16" i="15"/>
  <c r="CB9" i="15"/>
  <c r="BG13" i="15"/>
  <c r="BG15" i="15"/>
  <c r="BZ24" i="15"/>
  <c r="J41" i="15"/>
  <c r="AH42" i="15"/>
  <c r="BZ19" i="15"/>
  <c r="BG29" i="15"/>
  <c r="K35" i="15"/>
  <c r="BE35" i="15" s="1"/>
  <c r="AI36" i="15"/>
  <c r="BE36" i="15" s="1"/>
  <c r="L40" i="15"/>
  <c r="M40" i="15"/>
  <c r="CA19" i="15"/>
  <c r="AK42" i="15"/>
  <c r="BG10" i="15"/>
  <c r="CB19" i="15"/>
  <c r="BE28" i="15"/>
  <c r="BE7" i="15"/>
  <c r="BZ14" i="15"/>
  <c r="BG26" i="15"/>
  <c r="BG30" i="15"/>
  <c r="BQ42" i="15"/>
  <c r="BY9" i="15"/>
  <c r="AI21" i="15"/>
  <c r="BE21" i="15" s="1"/>
  <c r="BY26" i="15"/>
  <c r="BY17" i="15"/>
  <c r="BY18" i="15"/>
  <c r="BL42" i="15"/>
  <c r="BM42" i="15"/>
  <c r="BP42" i="15"/>
  <c r="BR42" i="15"/>
  <c r="BS42" i="15"/>
  <c r="BN42" i="15"/>
  <c r="BT42" i="15"/>
  <c r="BY19" i="15"/>
  <c r="BY15" i="15"/>
  <c r="BY14" i="15"/>
  <c r="BY10" i="15"/>
  <c r="BY13" i="15"/>
  <c r="BY28" i="15"/>
  <c r="BY27" i="15"/>
  <c r="AH41" i="15"/>
  <c r="AJ41" i="15"/>
  <c r="BG28" i="15"/>
  <c r="BY24" i="15"/>
  <c r="AI23" i="15"/>
  <c r="BE23" i="15" s="1"/>
  <c r="BY22" i="15"/>
  <c r="BG5" i="15"/>
  <c r="BY8" i="15"/>
  <c r="BY6" i="15"/>
  <c r="BG6" i="15"/>
  <c r="BY7" i="15"/>
  <c r="BV40" i="15"/>
  <c r="AH40" i="15"/>
  <c r="BY25" i="15"/>
  <c r="AJ43" i="15"/>
  <c r="AI8" i="15"/>
  <c r="BE8" i="15" s="1"/>
  <c r="AK43" i="15"/>
  <c r="AI10" i="15"/>
  <c r="AI11" i="15"/>
  <c r="BE11" i="15" s="1"/>
  <c r="AI13" i="15"/>
  <c r="BE13" i="15" s="1"/>
  <c r="BW43" i="15"/>
  <c r="BX40" i="15"/>
  <c r="BY11" i="15"/>
  <c r="AI25" i="15"/>
  <c r="AI26" i="15"/>
  <c r="BE26" i="15" s="1"/>
  <c r="BX43" i="15"/>
  <c r="BY16" i="15"/>
  <c r="AK41" i="15"/>
  <c r="BY20" i="15"/>
  <c r="BY23" i="15"/>
  <c r="BY29" i="15"/>
  <c r="BN43" i="15"/>
  <c r="BN40" i="15"/>
  <c r="BL41" i="15"/>
  <c r="BP41" i="15"/>
  <c r="BQ40" i="15"/>
  <c r="BQ43" i="15"/>
  <c r="BQ41" i="15"/>
  <c r="BN41" i="15"/>
  <c r="BR40" i="15"/>
  <c r="BR43" i="15"/>
  <c r="BR41" i="15"/>
  <c r="BM41" i="15"/>
  <c r="BP43" i="15"/>
  <c r="BP40" i="15"/>
  <c r="BS40" i="15"/>
  <c r="BS43" i="15"/>
  <c r="BS41" i="15"/>
  <c r="BL43" i="15"/>
  <c r="BL40" i="15"/>
  <c r="BM43" i="15"/>
  <c r="BM40" i="15"/>
  <c r="BT40" i="15"/>
  <c r="BT43" i="15"/>
  <c r="BT41" i="15"/>
  <c r="BE31" i="15"/>
  <c r="BE16" i="15"/>
  <c r="BE38" i="15"/>
  <c r="AI32" i="15"/>
  <c r="BE32" i="15" s="1"/>
  <c r="BG37" i="15"/>
  <c r="AI39" i="15"/>
  <c r="BE39" i="15" s="1"/>
  <c r="BW40" i="15"/>
  <c r="J43" i="15"/>
  <c r="AJ40" i="15"/>
  <c r="BG31" i="15"/>
  <c r="AK40" i="15"/>
  <c r="L43" i="15"/>
  <c r="BG38" i="15"/>
  <c r="M43" i="15"/>
  <c r="BH5" i="15" a="1"/>
  <c r="BH5" i="15" s="1"/>
  <c r="BH10" i="15" a="1"/>
  <c r="BH10" i="15" s="1"/>
  <c r="BH15" i="15" a="1"/>
  <c r="BH15" i="15" s="1"/>
  <c r="BH25" i="15" a="1"/>
  <c r="BH25" i="15" s="1"/>
  <c r="BH41" i="15" s="1"/>
  <c r="BH30" i="15" a="1"/>
  <c r="BH30" i="15" s="1"/>
  <c r="BH42" i="15" s="1"/>
  <c r="AH43" i="15"/>
  <c r="BV43" i="15"/>
  <c r="BY43" i="15" s="1"/>
  <c r="BY5" i="15"/>
  <c r="BH20" i="15" a="1"/>
  <c r="BH20" i="15" s="1"/>
  <c r="BG7" i="15"/>
  <c r="AI9" i="15"/>
  <c r="BE9" i="15" s="1"/>
  <c r="BG12" i="15"/>
  <c r="AI14" i="15"/>
  <c r="BE14" i="15" s="1"/>
  <c r="BG17" i="15"/>
  <c r="AI19" i="15"/>
  <c r="BE19" i="15" s="1"/>
  <c r="BG22" i="15"/>
  <c r="AI24" i="15"/>
  <c r="BE24" i="15" s="1"/>
  <c r="BG27" i="15"/>
  <c r="AI29" i="15"/>
  <c r="BE29" i="15" s="1"/>
  <c r="AI34" i="15"/>
  <c r="BE34" i="15" s="1"/>
  <c r="BJ30" i="15"/>
  <c r="BJ42" i="15" s="1"/>
  <c r="K5" i="15"/>
  <c r="K10" i="15"/>
  <c r="K15" i="15"/>
  <c r="BE15" i="15" s="1"/>
  <c r="K20" i="15"/>
  <c r="BE20" i="15" s="1"/>
  <c r="K25" i="15"/>
  <c r="K30" i="15"/>
  <c r="BG35" i="15"/>
  <c r="BK20" i="15"/>
  <c r="BK5" i="15"/>
  <c r="BK10" i="15"/>
  <c r="BJ20" i="15"/>
  <c r="BJ10" i="15"/>
  <c r="BK25" i="15"/>
  <c r="BJ5" i="15"/>
  <c r="BJ15" i="15"/>
  <c r="BJ25" i="15"/>
  <c r="CC24" i="15" l="1"/>
  <c r="CC14" i="15"/>
  <c r="CC19" i="15"/>
  <c r="CC9" i="15"/>
  <c r="CC29" i="15"/>
  <c r="BK41" i="15"/>
  <c r="BK43" i="15"/>
  <c r="BK40" i="15"/>
  <c r="BE10" i="15"/>
  <c r="BY40" i="15"/>
  <c r="AI40" i="15"/>
  <c r="BJ43" i="15"/>
  <c r="BJ40" i="15"/>
  <c r="BJ41" i="15"/>
  <c r="BH43" i="15"/>
  <c r="BH40" i="15"/>
  <c r="K42" i="15"/>
  <c r="BE30" i="15"/>
  <c r="K41" i="15"/>
  <c r="BE25" i="15"/>
  <c r="AI42" i="15"/>
  <c r="AI43" i="15"/>
  <c r="BE5" i="15"/>
  <c r="K40" i="15"/>
  <c r="K43" i="15"/>
  <c r="AI41" i="15"/>
  <c r="BE41" i="15" l="1"/>
  <c r="BE40" i="15"/>
  <c r="BE43" i="15"/>
  <c r="BE42" i="15"/>
</calcChain>
</file>

<file path=xl/sharedStrings.xml><?xml version="1.0" encoding="utf-8"?>
<sst xmlns="http://schemas.openxmlformats.org/spreadsheetml/2006/main" count="2388" uniqueCount="488">
  <si>
    <t>Geom. BD‑TotGeomRate [%]</t>
  </si>
  <si>
    <t>End-to-End BD‑AttrRate [%]</t>
  </si>
  <si>
    <t>Geom. BD‑TotalRate [%]</t>
  </si>
  <si>
    <t>End-to-End BD‑TotalRate [%]</t>
  </si>
  <si>
    <t>D1</t>
  </si>
  <si>
    <t>D2</t>
  </si>
  <si>
    <t>Luma</t>
  </si>
  <si>
    <t>Chroma Cb</t>
  </si>
  <si>
    <t>Chroma Cr</t>
  </si>
  <si>
    <t>Cat2-A average</t>
  </si>
  <si>
    <t>Cat2-B average</t>
  </si>
  <si>
    <t>Cat2-C average</t>
  </si>
  <si>
    <t>Overall average</t>
  </si>
  <si>
    <t>Tot.Geom</t>
  </si>
  <si>
    <t>Colour</t>
  </si>
  <si>
    <t>Total</t>
  </si>
  <si>
    <t>dec.cb-psnr</t>
  </si>
  <si>
    <t>8ivfbv2_loot_vox10</t>
  </si>
  <si>
    <t>eqn.bpp.geometry</t>
  </si>
  <si>
    <t>dec.d1-psnr</t>
  </si>
  <si>
    <t>8ivfbv2_redandblack_vox10</t>
  </si>
  <si>
    <t>dec.d2-psnr</t>
  </si>
  <si>
    <t>dec.cr-psnr</t>
  </si>
  <si>
    <t>8ivfbv2_soldier_vox10</t>
  </si>
  <si>
    <t>eqn.bpp.colour</t>
  </si>
  <si>
    <t>dec.y-psnr</t>
  </si>
  <si>
    <t>queen</t>
  </si>
  <si>
    <t>8ivfbv2_longdress_vox10</t>
  </si>
  <si>
    <t>basketball_player_vox11</t>
  </si>
  <si>
    <t>dancer_player_vox11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</si>
  <si>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</si>
  <si>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</si>
  <si>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</si>
  <si>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</si>
  <si>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</si>
  <si>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</si>
  <si>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dec.utime.children</t>
  </si>
  <si>
    <t>dec.utime.self</t>
  </si>
  <si>
    <t>enc.bits.colour</t>
  </si>
  <si>
    <t>enc.bits.geometry</t>
  </si>
  <si>
    <t>enc.bits.occ+patch</t>
  </si>
  <si>
    <t>enc.ext.bits</t>
  </si>
  <si>
    <t>enc.utime.children</t>
  </si>
  <si>
    <t>enc.utime.self</t>
  </si>
  <si>
    <t>eqn.bitrate</t>
  </si>
  <si>
    <t>eqn.bits.totalgeometry</t>
  </si>
  <si>
    <t>eqn.bpop</t>
  </si>
  <si>
    <t>eqn.bpp</t>
  </si>
  <si>
    <t>eqn.bpp.geometry+occ+patch</t>
  </si>
  <si>
    <t>eqn.compratio</t>
  </si>
  <si>
    <t>C2_ai — lossy geometry, lossy attributes [all intra]</t>
  </si>
  <si>
    <t>Class</t>
  </si>
  <si>
    <t>Sequence</t>
  </si>
  <si>
    <t>Variant</t>
  </si>
  <si>
    <t>№ input points</t>
  </si>
  <si>
    <t>Geometry precision [bits]</t>
  </si>
  <si>
    <t>№ frames</t>
  </si>
  <si>
    <t>Frame rate [fps]</t>
  </si>
  <si>
    <t>Rate [Mbps]</t>
  </si>
  <si>
    <t>Bits per input point [bpip]</t>
  </si>
  <si>
    <t>A.eqn.bits.totalgeometry Bitstream [bits]</t>
  </si>
  <si>
    <t>Total Bits per output point [bpop]</t>
  </si>
  <si>
    <t>Bitstream [bits]</t>
  </si>
  <si>
    <t>Geometry PSNR [dB]</t>
  </si>
  <si>
    <t>End-to-end PSNR [dB]</t>
  </si>
  <si>
    <t>Encoder runtime [s]</t>
  </si>
  <si>
    <t>Decoder runtime [s]</t>
  </si>
  <si>
    <t>B.eqn.bits.totalgeometry Bitstream [bits]</t>
  </si>
  <si>
    <t>Tot.Geom bpip ratio [%]</t>
  </si>
  <si>
    <t>Shift in duppoint ratio [pp]</t>
  </si>
  <si>
    <t>Shift in G:T bits ratio [pp]</t>
  </si>
  <si>
    <t>Geometry</t>
  </si>
  <si>
    <t xml:space="preserve">Colour </t>
  </si>
  <si>
    <t>Occ+Patch</t>
  </si>
  <si>
    <t>Self</t>
  </si>
  <si>
    <t>Child</t>
  </si>
  <si>
    <t>class</t>
  </si>
  <si>
    <t>sequence</t>
  </si>
  <si>
    <t>variant</t>
  </si>
  <si>
    <t>src.numpoints</t>
  </si>
  <si>
    <t>src.geometry-precision</t>
  </si>
  <si>
    <t>src.framecount</t>
  </si>
  <si>
    <t>src.framerate</t>
  </si>
  <si>
    <t>A.eqn.bitrate</t>
  </si>
  <si>
    <t>A.eqn.bpp</t>
  </si>
  <si>
    <t>A.eqn.bpp.geometry+occ+patch</t>
  </si>
  <si>
    <t>A.eqn.bpp.geometry</t>
  </si>
  <si>
    <t>A.eqn.bpp.colour</t>
  </si>
  <si>
    <t>A.eqn.bits.totalgeometry</t>
  </si>
  <si>
    <t>A.eqn.bpop</t>
  </si>
  <si>
    <t>A.dec.numpoints</t>
  </si>
  <si>
    <t>A.dec.numpoints.mean</t>
  </si>
  <si>
    <t>A.dec.numduppoints.mean</t>
  </si>
  <si>
    <t>A.enc.ext.bits</t>
  </si>
  <si>
    <t>A.enc.bits.geometry</t>
  </si>
  <si>
    <t>A.enc.bits.occ+patch</t>
  </si>
  <si>
    <t>A.enc.bits.colour</t>
  </si>
  <si>
    <t>A.dec.d1-psnr</t>
  </si>
  <si>
    <t>A.dec.d2-psnr</t>
  </si>
  <si>
    <t>A.dec.y-psnr</t>
  </si>
  <si>
    <t>A.dec.cb-psnr</t>
  </si>
  <si>
    <t>A.dec.cr-psnr</t>
  </si>
  <si>
    <t>A.enc.utime.self</t>
  </si>
  <si>
    <t>A.enc.utime.children</t>
  </si>
  <si>
    <t>A.dec.utime.self</t>
  </si>
  <si>
    <t>A.dec.utime.children</t>
  </si>
  <si>
    <t>B.eqn.bitrate</t>
  </si>
  <si>
    <t>B.eqn.bpp</t>
  </si>
  <si>
    <t>B.eqn.bpp.geometry+occ+patch</t>
  </si>
  <si>
    <t>B.eqn.bpp.geometry</t>
  </si>
  <si>
    <t>B.eqn.bpp.colour</t>
  </si>
  <si>
    <t>B.eqn.bits.totalgeometry</t>
  </si>
  <si>
    <t>B.eqn.bpop</t>
  </si>
  <si>
    <t>B.dec.numpoints</t>
  </si>
  <si>
    <t>B.dec.numpoints.mean</t>
  </si>
  <si>
    <t>B.dec.numduppoints.mean</t>
  </si>
  <si>
    <t>B.enc.ext.bits</t>
  </si>
  <si>
    <t>B.enc.bits.geometry</t>
  </si>
  <si>
    <t>B.enc.bits.occ+patch</t>
  </si>
  <si>
    <t>B.enc.bits.colour</t>
  </si>
  <si>
    <t>B.dec.d1-psnr</t>
  </si>
  <si>
    <t>B.dec.d2-psnr</t>
  </si>
  <si>
    <t>B.dec.y-psnr</t>
  </si>
  <si>
    <t>B.dec.cb-psnr</t>
  </si>
  <si>
    <t>B.dec.cr-psnr</t>
  </si>
  <si>
    <t>B.enc.utime.self</t>
  </si>
  <si>
    <t>B.enc.utime.children</t>
  </si>
  <si>
    <t>B.dec.utime.self</t>
  </si>
  <si>
    <t>B.dec.utime.children</t>
  </si>
  <si>
    <t>eqn.ab.ratio-bpp-geometry-total</t>
  </si>
  <si>
    <t>eqn.ab.delta-duppoints_ratio</t>
  </si>
  <si>
    <t>eqn.ab.delta-geom_texture_bits_ratio</t>
  </si>
  <si>
    <t>eqn.ab.summary-delta-geom_texture_bits_ratio</t>
  </si>
  <si>
    <t>eqn.ab.bdrate-d1-geomrate</t>
  </si>
  <si>
    <t>eqn.ab.bdrate-d2-geomrate</t>
  </si>
  <si>
    <t>eqn.ab.bdrate-y-attrrate</t>
  </si>
  <si>
    <t>eqn.ab.bdrate-cb-attrrate</t>
  </si>
  <si>
    <t>eqn.ab.bdrate-cr-attrrate</t>
  </si>
  <si>
    <t>eqn.ab.bdrate-d1</t>
  </si>
  <si>
    <t>eqn.ab.bdrate-d2</t>
  </si>
  <si>
    <t>eqn.ab.bdrate-y</t>
  </si>
  <si>
    <t>eqn.ab.bdrate-cb</t>
  </si>
  <si>
    <t>eqn.ab.bdrate-cr</t>
  </si>
  <si>
    <t>cat2-A</t>
  </si>
  <si>
    <t>r01</t>
  </si>
  <si>
    <t>r02</t>
  </si>
  <si>
    <t>r03</t>
  </si>
  <si>
    <t>r04</t>
  </si>
  <si>
    <t>r05</t>
  </si>
  <si>
    <t>cat2-B</t>
  </si>
  <si>
    <t>cat2-C</t>
  </si>
  <si>
    <t>Overall</t>
  </si>
  <si>
    <t>Total time [s]</t>
  </si>
  <si>
    <t>Total time [%]</t>
  </si>
  <si>
    <t>Avg (geometric) time [s]</t>
  </si>
  <si>
    <t>Avg (geometric) time [%]</t>
  </si>
  <si>
    <t>col.C2 lossyG,lossyA,intra.class</t>
  </si>
  <si>
    <t>col.C2 lossyG,lossyA,intra.sequence</t>
  </si>
  <si>
    <t>col.C2 lossyG,lossyA,intra.variant</t>
  </si>
  <si>
    <t>col.C2 lossyG,lossyA,intra.src.numpoints</t>
  </si>
  <si>
    <t>col.C2 lossyG,lossyA,intra.src.geometry-precision</t>
  </si>
  <si>
    <t>col.C2 lossyG,lossyA,intra.src.framecount</t>
  </si>
  <si>
    <t>col.C2 lossyG,lossyA,intra.src.framerate</t>
  </si>
  <si>
    <t>col.C2 lossyG,lossyA,intra.A.eqn.bitrate</t>
  </si>
  <si>
    <t>col.C2 lossyG,lossyA,intra.A.eqn.bpp</t>
  </si>
  <si>
    <t>col.C2 lossyG,lossyA,intra.A.eqn.bpp.geometry+occ+patch</t>
  </si>
  <si>
    <t>col.C2 lossyG,lossyA,intra.A.eqn.bpp.geometry</t>
  </si>
  <si>
    <t>col.C2 lossyG,lossyA,intra.A.eqn.bpp.colour</t>
  </si>
  <si>
    <t>col.C2 lossyG,lossyA,intra.A.eqn.bits.totalgeometry</t>
  </si>
  <si>
    <t>col.C2 lossyG,lossyA,intra.A.eqn.bpop</t>
  </si>
  <si>
    <t>col.C2 lossyG,lossyA,intra.A.dec.numpoints</t>
  </si>
  <si>
    <t>col.C2 lossyG,lossyA,intra.A.dec.numpoints.mean</t>
  </si>
  <si>
    <t>col.C2 lossyG,lossyA,intra.A.dec.numduppoints.mean</t>
  </si>
  <si>
    <t>col.C2 lossyG,lossyA,intra.A.enc.ext.bits</t>
  </si>
  <si>
    <t>col.C2 lossyG,lossyA,intra.A.enc.bits.geometry</t>
  </si>
  <si>
    <t>col.C2 lossyG,lossyA,intra.A.enc.bits.occ+patch</t>
  </si>
  <si>
    <t>col.C2 lossyG,lossyA,intra.A.enc.bits.colour</t>
  </si>
  <si>
    <t>col.C2 lossyG,lossyA,intra.A.dec.d1-psnr</t>
  </si>
  <si>
    <t>col.C2 lossyG,lossyA,intra.A.dec.d2-psnr</t>
  </si>
  <si>
    <t>col.C2 lossyG,lossyA,intra.A.dec.y-psnr</t>
  </si>
  <si>
    <t>col.C2 lossyG,lossyA,intra.A.dec.cb-psnr</t>
  </si>
  <si>
    <t>col.C2 lossyG,lossyA,intra.A.dec.cr-psnr</t>
  </si>
  <si>
    <t>col.C2 lossyG,lossyA,intra.A.enc.utime.self</t>
  </si>
  <si>
    <t>col.C2 lossyG,lossyA,intra.A.enc.utime.children</t>
  </si>
  <si>
    <t>col.C2 lossyG,lossyA,intra.A.dec.utime.self</t>
  </si>
  <si>
    <t>col.C2 lossyG,lossyA,intra.A.dec.utime.children</t>
  </si>
  <si>
    <t>col.C2 lossyG,lossyA,intra.B.eqn.bitrate</t>
  </si>
  <si>
    <t>col.C2 lossyG,lossyA,intra.B.eqn.bpp</t>
  </si>
  <si>
    <t>col.C2 lossyG,lossyA,intra.B.eqn.bpp.geometry+occ+patch</t>
  </si>
  <si>
    <t>col.C2 lossyG,lossyA,intra.B.eqn.bpp.geometry</t>
  </si>
  <si>
    <t>col.C2 lossyG,lossyA,intra.B.eqn.bpp.colour</t>
  </si>
  <si>
    <t>col.C2 lossyG,lossyA,intra.B.eqn.bits.totalgeometry</t>
  </si>
  <si>
    <t>col.C2 lossyG,lossyA,intra.B.eqn.bpop</t>
  </si>
  <si>
    <t>col.C2 lossyG,lossyA,intra.B.dec.numpoints</t>
  </si>
  <si>
    <t>col.C2 lossyG,lossyA,intra.B.dec.numpoints.mean</t>
  </si>
  <si>
    <t>col.C2 lossyG,lossyA,intra.B.dec.numduppoints.mean</t>
  </si>
  <si>
    <t>col.C2 lossyG,lossyA,intra.B.enc.ext.bits</t>
  </si>
  <si>
    <t>col.C2 lossyG,lossyA,intra.B.enc.bits.geometry</t>
  </si>
  <si>
    <t>col.C2 lossyG,lossyA,intra.B.enc.bits.occ+patch</t>
  </si>
  <si>
    <t>col.C2 lossyG,lossyA,intra.B.enc.bits.colour</t>
  </si>
  <si>
    <t>col.C2 lossyG,lossyA,intra.B.dec.d1-psnr</t>
  </si>
  <si>
    <t>col.C2 lossyG,lossyA,intra.B.dec.d2-psnr</t>
  </si>
  <si>
    <t>col.C2 lossyG,lossyA,intra.B.dec.y-psnr</t>
  </si>
  <si>
    <t>col.C2 lossyG,lossyA,intra.B.dec.cb-psnr</t>
  </si>
  <si>
    <t>col.C2 lossyG,lossyA,intra.B.dec.cr-psnr</t>
  </si>
  <si>
    <t>col.C2 lossyG,lossyA,intra.B.enc.utime.self</t>
  </si>
  <si>
    <t>col.C2 lossyG,lossyA,intra.B.enc.utime.children</t>
  </si>
  <si>
    <t>col.C2 lossyG,lossyA,intra.B.dec.utime.self</t>
  </si>
  <si>
    <t>col.C2 lossyG,lossyA,intra.B.dec.utime.children</t>
  </si>
  <si>
    <t>col.C2 lossyG,lossyA,intra.eqn.ab.ratio-bpp-geometry-total</t>
  </si>
  <si>
    <t>col.C2 lossyG,lossyA,intra.eqn.ab.delta-duppoints_ratio</t>
  </si>
  <si>
    <t>col.C2 lossyG,lossyA,intra.eqn.ab.delta-geom_texture_bits_ratio</t>
  </si>
  <si>
    <t>col.C2 lossyG,lossyA,intra.eqn.ab.summary-delta-geom_texture_bits_ratio</t>
  </si>
  <si>
    <t>col.C2 lossyG,lossyA,intra.eqn.ab.bdrate-d1-geomrate</t>
  </si>
  <si>
    <t>col.C2 lossyG,lossyA,intra.eqn.ab.bdrate-d2-geomrate</t>
  </si>
  <si>
    <t>col.C2 lossyG,lossyA,intra.eqn.ab.bdrate-y-attrrate</t>
  </si>
  <si>
    <t>col.C2 lossyG,lossyA,intra.eqn.ab.bdrate-cb-attrrate</t>
  </si>
  <si>
    <t>col.C2 lossyG,lossyA,intra.eqn.ab.bdrate-cr-attrrate</t>
  </si>
  <si>
    <t>col.C2 lossyG,lossyA,intra.eqn.ab.bdrate-d1</t>
  </si>
  <si>
    <t>col.C2 lossyG,lossyA,intra.eqn.ab.bdrate-d2</t>
  </si>
  <si>
    <t>col.C2 lossyG,lossyA,intra.eqn.ab.bdrate-y</t>
  </si>
  <si>
    <t>col.C2 lossyG,lossyA,intra.eqn.ab.bdrate-cb</t>
  </si>
  <si>
    <t>col.C2 lossyG,lossyA,intra.eqn.ab.bdrate-cr</t>
  </si>
  <si>
    <t>name.A.C2 lossyG,lossyA,intra</t>
  </si>
  <si>
    <t>'C2 lossyG,lossyA,intra'!$I$1</t>
  </si>
  <si>
    <t>name.B.C2 lossyG,lossyA,intra</t>
  </si>
  <si>
    <t>'C2 lossyG,lossyA,intra'!$AG$1</t>
  </si>
  <si>
    <t>range.C2 lossyG,lossyA,intra.8ivfbv2_loot_vox10</t>
  </si>
  <si>
    <t>'C2 lossyG,lossyA,intra'!$A$5:$BT$9</t>
  </si>
  <si>
    <t>range.C2 lossyG,lossyA,intra.8ivfbv2_redandblack_vox10</t>
  </si>
  <si>
    <t>'C2 lossyG,lossyA,intra'!$A$10:$BT$14</t>
  </si>
  <si>
    <t>range.C2 lossyG,lossyA,intra.8ivfbv2_soldier_vox10</t>
  </si>
  <si>
    <t>'C2 lossyG,lossyA,intra'!$A$15:$BT$19</t>
  </si>
  <si>
    <t>range.C2 lossyG,lossyA,intra.queen</t>
  </si>
  <si>
    <t>'C2 lossyG,lossyA,intra'!$A$20:$BT$24</t>
  </si>
  <si>
    <t>range.C2 lossyG,lossyA,intra.8ivfbv2_longdress_vox10</t>
  </si>
  <si>
    <t>'C2 lossyG,lossyA,intra'!$A$25:$BT$29</t>
  </si>
  <si>
    <t>range.C2 lossyG,lossyA,intra.basketball_player_vox11</t>
  </si>
  <si>
    <t>'C2 lossyG,lossyA,intra'!$A$30:$BT$34</t>
  </si>
  <si>
    <t>range.C2 lossyG,lossyA,intra.dancer_player_vox11</t>
  </si>
  <si>
    <t>'C2 lossyG,lossyA,intra'!$A$35:$BT$39</t>
  </si>
  <si>
    <t>cols.C2 lossyG,lossyA,intra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</si>
  <si>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</si>
  <si>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</si>
  <si>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</si>
  <si>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</si>
  <si>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</si>
  <si>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</si>
  <si>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</si>
  <si>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</si>
  <si>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</si>
  <si>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</si>
  <si>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</si>
  <si>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</si>
  <si>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</si>
  <si>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</si>
  <si>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</si>
  <si>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</si>
  <si>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</si>
  <si>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</si>
  <si>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</si>
  <si>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</si>
  <si>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</si>
  <si>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</si>
  <si>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</si>
  <si>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</si>
  <si>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</si>
  <si>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</si>
  <si>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</si>
  <si>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</si>
  <si>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</si>
  <si>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</si>
  <si>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</si>
  <si>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</si>
  <si>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</si>
  <si>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</si>
  <si>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</si>
  <si>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</si>
  <si>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</si>
  <si>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</si>
  <si>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</si>
  <si>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</si>
  <si>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</si>
  <si>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</si>
  <si>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</si>
  <si>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</si>
  <si>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</si>
  <si>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</si>
  <si>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</si>
  <si>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</si>
  <si>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</si>
  <si>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</si>
  <si>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col.CW losslG,losslA,intra.eqn.ab.ratio-bpp</t>
  </si>
  <si>
    <t>col.CW losslG,losslA,intra.eqn.ab.ratio-bpp-geometry-total</t>
  </si>
  <si>
    <t>col.CW losslG,losslA,intra.eqn.ab.ratio-bpp-geometry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</si>
  <si>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</si>
  <si>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</si>
  <si>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</si>
  <si>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</si>
  <si>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</si>
  <si>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</si>
  <si>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</si>
  <si>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</si>
  <si>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losslG,losslA,intra'!$A$5:$BG$5</t>
  </si>
  <si>
    <t>range.CW losslG,losslA,intra.8ivfbv2_redandblack_vox10</t>
  </si>
  <si>
    <t>'CW losslG,losslA,intra'!$A$6:$BG$6</t>
  </si>
  <si>
    <t>range.CW losslG,losslA,intra.8ivfbv2_soldier_vox10</t>
  </si>
  <si>
    <t>'CW losslG,losslA,intra'!$A$7:$BG$7</t>
  </si>
  <si>
    <t>range.CW losslG,losslA,intra.queen</t>
  </si>
  <si>
    <t>'CW losslG,losslA,intra'!$A$8:$BG$8</t>
  </si>
  <si>
    <t>range.CW losslG,losslA,intra.8ivfbv2_longdress_vox10</t>
  </si>
  <si>
    <t>'CW losslG,losslA,intra'!$A$9:$BG$9</t>
  </si>
  <si>
    <t>range.CW losslG,losslA,intra.basketball_player_vox11</t>
  </si>
  <si>
    <t>'CW losslG,losslA,intra'!$A$10:$BG$10</t>
  </si>
  <si>
    <t>range.CW losslG,losslA,intra.dancer_player_vox11</t>
  </si>
  <si>
    <t>'CW losslG,losslA,intra'!$A$11:$BG$11</t>
  </si>
  <si>
    <t>cols.CW losslG,losslA,intra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</si>
  <si>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</si>
  <si>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</si>
  <si>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</si>
  <si>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</si>
  <si>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</si>
  <si>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</si>
  <si>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</si>
  <si>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</si>
  <si>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</si>
  <si>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</si>
  <si>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</si>
  <si>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</si>
  <si>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</si>
  <si>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</si>
  <si>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</si>
  <si>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</si>
  <si>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</si>
  <si>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</si>
  <si>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</si>
  <si>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</si>
  <si>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</si>
  <si>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</si>
  <si>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</si>
  <si>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</si>
  <si>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</si>
  <si>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</si>
  <si>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</si>
  <si>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</si>
  <si>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</si>
  <si>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</si>
  <si>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</si>
  <si>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</si>
  <si>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</si>
  <si>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</si>
  <si>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</si>
  <si>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</si>
  <si>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</si>
  <si>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</si>
  <si>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</si>
  <si>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</si>
  <si>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</si>
  <si>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</si>
  <si>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</si>
  <si>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</si>
  <si>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</si>
  <si>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</si>
  <si>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</si>
  <si>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</si>
  <si>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</si>
  <si>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</si>
  <si>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</si>
  <si>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losslG,losslA,interLD.eqn.ab.ratio-bpp-geometry-total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</si>
  <si>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</si>
  <si>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</si>
  <si>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</si>
  <si>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</si>
  <si>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</si>
  <si>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</si>
  <si>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</si>
  <si>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</si>
  <si>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</si>
  <si>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losslG,losslA,interLD'!$A$5:$BG$5</t>
  </si>
  <si>
    <t>range.CW losslG,losslA,interLD.8ivfbv2_redandblack_vox10</t>
  </si>
  <si>
    <t>'CW losslG,losslA,interLD'!$A$6:$BG$6</t>
  </si>
  <si>
    <t>range.CW losslG,losslA,interLD.8ivfbv2_soldier_vox10</t>
  </si>
  <si>
    <t>'CW losslG,losslA,interLD'!$A$7:$BG$7</t>
  </si>
  <si>
    <t>range.CW losslG,losslA,interLD.queen</t>
  </si>
  <si>
    <t>'CW losslG,losslA,interLD'!$A$8:$BG$8</t>
  </si>
  <si>
    <t>range.CW losslG,losslA,interLD.8ivfbv2_longdress_vox10</t>
  </si>
  <si>
    <t>'CW losslG,losslA,interLD'!$A$9:$BG$9</t>
  </si>
  <si>
    <t>range.CW losslG,losslA,interLD.basketball_player_vox11</t>
  </si>
  <si>
    <t>'CW losslG,losslA,interLD'!$A$10:$BG$10</t>
  </si>
  <si>
    <t>range.CW losslG,losslA,interLD.dancer_player_vox11</t>
  </si>
  <si>
    <t>'CW losslG,losslA,interLD'!$A$11:$BG$11</t>
  </si>
  <si>
    <t>cols.CW losslG,losslA,interLD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</si>
  <si>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</si>
  <si>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</si>
  <si>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</si>
  <si>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</si>
  <si>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</si>
  <si>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</si>
  <si>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</si>
  <si>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</si>
  <si>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</si>
  <si>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</si>
  <si>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</si>
  <si>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</si>
  <si>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</si>
  <si>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</si>
  <si>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</si>
  <si>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</si>
  <si>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</si>
  <si>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</si>
  <si>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</si>
  <si>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</si>
  <si>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</si>
  <si>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</si>
  <si>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</si>
  <si>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</si>
  <si>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</si>
  <si>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</si>
  <si>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</si>
  <si>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</si>
  <si>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</si>
  <si>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</si>
  <si>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</si>
  <si>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</si>
  <si>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</si>
  <si>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</si>
  <si>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</si>
  <si>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</si>
  <si>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</si>
  <si>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</si>
  <si>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</si>
  <si>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</si>
  <si>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</si>
  <si>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</si>
  <si>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</si>
  <si>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</si>
  <si>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</si>
  <si>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</si>
  <si>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</si>
  <si>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</si>
  <si>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</si>
  <si>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</si>
  <si>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</si>
  <si>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</si>
  <si>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</si>
  <si>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lossyG,lossyA,interRA.eqn.ab.ratio-bpp-geometry-total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</si>
  <si>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</si>
  <si>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</si>
  <si>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</si>
  <si>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</si>
  <si>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</si>
  <si>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</si>
  <si>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</si>
  <si>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</si>
  <si>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</si>
  <si>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</si>
  <si>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</si>
  <si>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</si>
  <si>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</si>
  <si>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</si>
  <si>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</si>
  <si>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</si>
  <si>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</si>
  <si>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</si>
  <si>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lossyG,lossyA,interRA'!$A$5:$BT$9</t>
  </si>
  <si>
    <t>range.C2 lossyG,lossyA,interRA.8ivfbv2_redandblack_vox10</t>
  </si>
  <si>
    <t>'C2 lossyG,lossyA,interRA'!$A$10:$BT$14</t>
  </si>
  <si>
    <t>range.C2 lossyG,lossyA,interRA.8ivfbv2_soldier_vox10</t>
  </si>
  <si>
    <t>'C2 lossyG,lossyA,interRA'!$A$15:$BT$19</t>
  </si>
  <si>
    <t>range.C2 lossyG,lossyA,interRA.queen</t>
  </si>
  <si>
    <t>'C2 lossyG,lossyA,interRA'!$A$20:$BT$24</t>
  </si>
  <si>
    <t>range.C2 lossyG,lossyA,interRA.8ivfbv2_longdress_vox10</t>
  </si>
  <si>
    <t>'C2 lossyG,lossyA,interRA'!$A$25:$BT$29</t>
  </si>
  <si>
    <t>range.C2 lossyG,lossyA,interRA.basketball_player_vox11</t>
  </si>
  <si>
    <t>'C2 lossyG,lossyA,interRA'!$A$30:$BT$34</t>
  </si>
  <si>
    <t>range.C2 lossyG,lossyA,interRA.dancer_player_vox11</t>
  </si>
  <si>
    <t>'C2 lossyG,lossyA,interRA'!$A$35:$BT$39</t>
  </si>
  <si>
    <t>cols.C2 lossyG,lossyA,interRA</t>
  </si>
  <si>
    <t>Time Saving</t>
  </si>
  <si>
    <t>Attribute</t>
  </si>
  <si>
    <t>Self</t>
    <phoneticPr fontId="2" type="noConversion"/>
  </si>
  <si>
    <t>Time Saving Average</t>
    <phoneticPr fontId="2" type="noConversion"/>
  </si>
  <si>
    <t>Geo</t>
    <phoneticPr fontId="2" type="noConversion"/>
  </si>
  <si>
    <t>Att</t>
    <phoneticPr fontId="2" type="noConversion"/>
  </si>
  <si>
    <t>Time Saving Change
(Average after Sum)</t>
    <phoneticPr fontId="2" type="noConversion"/>
  </si>
  <si>
    <t>Geom</t>
    <phoneticPr fontId="2" type="noConversion"/>
  </si>
  <si>
    <t>Attr</t>
    <phoneticPr fontId="2" type="noConversion"/>
  </si>
  <si>
    <t>Child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</si>
</sst>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%"/>
    <numFmt numFmtId="177" formatCode="0.000"/>
    <numFmt numFmtId="178" formatCode="[&gt;1000]0;[&gt;100]0.0;0.00"/>
  </numFmts>
  <fonts count="4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rgb="FF3F3F3F"/>
      <name val="宋体"/>
      <family val="2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rgb="FFF2F2F2"/>
      </patternFill>
    </fill>
  </fills>
  <borders count="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3" fillId="11" borderId="5" applyNumberFormat="0" applyAlignment="0" applyProtection="0">
      <alignment vertical="center"/>
    </xf>
  </cellStyleXfs>
  <cellXfs count="73">
    <xf numFmtId="0" fontId="0" fillId="0" borderId="0" xfId="0"/>
    <xf numFmtId="0" fontId="1" fillId="5" borderId="1" xfId="0" applyFont="1" applyFill="1" applyBorder="1" applyAlignment="1">
      <alignment horizontal="center" textRotation="90" wrapText="1"/>
    </xf>
    <xf numFmtId="0" fontId="1" fillId="4" borderId="1" xfId="0" applyFont="1" applyFill="1" applyBorder="1" applyAlignment="1">
      <alignment horizontal="center" textRotation="90" wrapText="1"/>
    </xf>
    <xf numFmtId="0" fontId="0" fillId="7" borderId="0" xfId="0" applyFill="1" applyAlignment="1">
      <alignment horizontal="center"/>
    </xf>
    <xf numFmtId="177" fontId="0" fillId="7" borderId="0" xfId="0" applyNumberFormat="1" applyFill="1" applyAlignment="1">
      <alignment horizontal="center"/>
    </xf>
    <xf numFmtId="2" fontId="0" fillId="7" borderId="0" xfId="0" applyNumberFormat="1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/>
    </xf>
    <xf numFmtId="2" fontId="0" fillId="8" borderId="0" xfId="0" applyNumberFormat="1" applyFill="1" applyAlignment="1">
      <alignment horizontal="center"/>
    </xf>
    <xf numFmtId="178" fontId="0" fillId="8" borderId="0" xfId="0" applyNumberFormat="1" applyFill="1" applyAlignment="1">
      <alignment horizontal="center"/>
    </xf>
    <xf numFmtId="9" fontId="0" fillId="7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177" fontId="0" fillId="9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2" fontId="0" fillId="10" borderId="0" xfId="0" applyNumberFormat="1" applyFill="1" applyAlignment="1">
      <alignment horizontal="center"/>
    </xf>
    <xf numFmtId="178" fontId="0" fillId="10" borderId="0" xfId="0" applyNumberFormat="1" applyFill="1" applyAlignment="1">
      <alignment horizontal="center"/>
    </xf>
    <xf numFmtId="9" fontId="0" fillId="9" borderId="0" xfId="0" applyNumberFormat="1" applyFill="1" applyAlignment="1">
      <alignment horizontal="center"/>
    </xf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177" fontId="0" fillId="7" borderId="1" xfId="0" applyNumberFormat="1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0" fontId="0" fillId="8" borderId="1" xfId="0" applyFill="1" applyBorder="1"/>
    <xf numFmtId="0" fontId="0" fillId="8" borderId="1" xfId="0" applyFill="1" applyBorder="1" applyAlignment="1">
      <alignment horizontal="center"/>
    </xf>
    <xf numFmtId="2" fontId="0" fillId="8" borderId="1" xfId="0" applyNumberFormat="1" applyFill="1" applyBorder="1" applyAlignment="1">
      <alignment horizontal="center"/>
    </xf>
    <xf numFmtId="178" fontId="0" fillId="8" borderId="1" xfId="0" applyNumberFormat="1" applyFill="1" applyBorder="1" applyAlignment="1">
      <alignment horizontal="center"/>
    </xf>
    <xf numFmtId="176" fontId="0" fillId="7" borderId="1" xfId="0" applyNumberFormat="1" applyFill="1" applyBorder="1" applyAlignment="1">
      <alignment horizontal="center"/>
    </xf>
    <xf numFmtId="9" fontId="0" fillId="7" borderId="1" xfId="0" applyNumberFormat="1" applyFill="1" applyBorder="1" applyAlignment="1">
      <alignment horizontal="center"/>
    </xf>
    <xf numFmtId="0" fontId="0" fillId="9" borderId="1" xfId="0" applyFill="1" applyBorder="1"/>
    <xf numFmtId="0" fontId="0" fillId="9" borderId="1" xfId="0" applyFill="1" applyBorder="1" applyAlignment="1">
      <alignment horizontal="center"/>
    </xf>
    <xf numFmtId="177" fontId="0" fillId="9" borderId="1" xfId="0" applyNumberFormat="1" applyFill="1" applyBorder="1" applyAlignment="1">
      <alignment horizontal="center"/>
    </xf>
    <xf numFmtId="2" fontId="0" fillId="9" borderId="1" xfId="0" applyNumberFormat="1" applyFill="1" applyBorder="1" applyAlignment="1">
      <alignment horizontal="center"/>
    </xf>
    <xf numFmtId="0" fontId="0" fillId="10" borderId="1" xfId="0" applyFill="1" applyBorder="1"/>
    <xf numFmtId="0" fontId="0" fillId="10" borderId="1" xfId="0" applyFill="1" applyBorder="1" applyAlignment="1">
      <alignment horizontal="center"/>
    </xf>
    <xf numFmtId="2" fontId="0" fillId="10" borderId="1" xfId="0" applyNumberFormat="1" applyFill="1" applyBorder="1" applyAlignment="1">
      <alignment horizontal="center"/>
    </xf>
    <xf numFmtId="178" fontId="0" fillId="10" borderId="1" xfId="0" applyNumberFormat="1" applyFill="1" applyBorder="1" applyAlignment="1">
      <alignment horizontal="center"/>
    </xf>
    <xf numFmtId="176" fontId="0" fillId="9" borderId="1" xfId="0" applyNumberFormat="1" applyFill="1" applyBorder="1" applyAlignment="1">
      <alignment horizontal="center"/>
    </xf>
    <xf numFmtId="9" fontId="0" fillId="9" borderId="1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176" fontId="0" fillId="9" borderId="0" xfId="0" applyNumberFormat="1" applyFill="1" applyAlignment="1">
      <alignment horizontal="center"/>
    </xf>
    <xf numFmtId="176" fontId="0" fillId="7" borderId="0" xfId="0" applyNumberFormat="1" applyFill="1" applyAlignment="1">
      <alignment horizontal="center"/>
    </xf>
    <xf numFmtId="176" fontId="0" fillId="0" borderId="0" xfId="0" applyNumberFormat="1" applyAlignment="1">
      <alignment horizontal="center"/>
    </xf>
    <xf numFmtId="0" fontId="0" fillId="7" borderId="0" xfId="0" applyFill="1"/>
    <xf numFmtId="9" fontId="0" fillId="0" borderId="0" xfId="0" applyNumberFormat="1" applyAlignment="1">
      <alignment horizontal="center"/>
    </xf>
    <xf numFmtId="0" fontId="1" fillId="5" borderId="1" xfId="0" applyFont="1" applyFill="1" applyBorder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  <xf numFmtId="10" fontId="1" fillId="5" borderId="0" xfId="0" applyNumberFormat="1" applyFont="1" applyFill="1" applyAlignment="1">
      <alignment horizontal="center" wrapText="1"/>
    </xf>
    <xf numFmtId="10" fontId="0" fillId="0" borderId="0" xfId="0" applyNumberFormat="1"/>
    <xf numFmtId="10" fontId="0" fillId="0" borderId="2" xfId="0" applyNumberFormat="1" applyBorder="1"/>
    <xf numFmtId="10" fontId="1" fillId="5" borderId="3" xfId="0" applyNumberFormat="1" applyFont="1" applyFill="1" applyBorder="1" applyAlignment="1">
      <alignment horizontal="center" wrapText="1"/>
    </xf>
    <xf numFmtId="0" fontId="0" fillId="0" borderId="3" xfId="0" applyBorder="1"/>
    <xf numFmtId="10" fontId="0" fillId="0" borderId="3" xfId="0" applyNumberFormat="1" applyBorder="1"/>
    <xf numFmtId="10" fontId="1" fillId="5" borderId="4" xfId="0" applyNumberFormat="1" applyFont="1" applyFill="1" applyBorder="1" applyAlignment="1">
      <alignment horizontal="center" wrapText="1"/>
    </xf>
    <xf numFmtId="0" fontId="0" fillId="0" borderId="4" xfId="0" applyBorder="1"/>
    <xf numFmtId="10" fontId="0" fillId="0" borderId="4" xfId="0" applyNumberFormat="1" applyBorder="1"/>
    <xf numFmtId="10" fontId="3" fillId="11" borderId="5" xfId="1" applyNumberFormat="1" applyAlignment="1"/>
    <xf numFmtId="10" fontId="3" fillId="11" borderId="6" xfId="1" applyNumberFormat="1" applyBorder="1" applyAlignment="1"/>
    <xf numFmtId="0" fontId="1" fillId="4" borderId="0" xfId="0" applyFont="1" applyFill="1" applyAlignment="1">
      <alignment horizontal="center" wrapText="1"/>
    </xf>
    <xf numFmtId="0" fontId="0" fillId="0" borderId="0" xfId="0"/>
    <xf numFmtId="0" fontId="1" fillId="5" borderId="0" xfId="0" applyFont="1" applyFill="1" applyAlignment="1">
      <alignment horizontal="center" wrapText="1"/>
    </xf>
    <xf numFmtId="10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 wrapText="1"/>
    </xf>
    <xf numFmtId="0" fontId="0" fillId="0" borderId="0" xfId="0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0" fillId="0" borderId="1" xfId="0" applyBorder="1"/>
    <xf numFmtId="0" fontId="1" fillId="5" borderId="1" xfId="0" applyFont="1" applyFill="1" applyBorder="1" applyAlignment="1">
      <alignment horizontal="center" wrapText="1"/>
    </xf>
    <xf numFmtId="0" fontId="1" fillId="6" borderId="0" xfId="0" applyFont="1" applyFill="1" applyAlignment="1">
      <alignment horizontal="left" vertical="top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</cellXfs>
  <cellStyles count="2">
    <cellStyle name="常规" xfId="0" builtinId="0"/>
    <cellStyle name="输出" xfId="1" builtinId="21"/>
  </cellStyles>
  <dxfs count="17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0466B-9B53-4AA2-BBB5-DD95D41CA7D0}">
  <sheetPr>
    <outlinePr summaryBelow="0"/>
  </sheetPr>
  <dimension ref="A1:CF47"/>
  <sheetViews>
    <sheetView zoomScale="85" zoomScaleNormal="85" workbookViewId="0">
      <pane xSplit="2" ySplit="4" topLeftCell="BH5" activePane="bottomRight" state="frozen"/>
      <selection pane="topRight" activeCell="C1" sqref="C1"/>
      <selection pane="bottomLeft" activeCell="A5" sqref="A5"/>
      <selection pane="bottomRight" activeCell="BV10" sqref="BV10:BY29"/>
    </sheetView>
  </sheetViews>
  <sheetFormatPr defaultRowHeight="13.5" outlineLevelRow="2" x14ac:dyDescent="0.15"/>
  <cols>
    <col min="2" max="2" width="24.75" customWidth="1"/>
    <col min="4" max="5" width="10.75" customWidth="1"/>
    <col min="8" max="8" width="1.75" customWidth="1"/>
    <col min="10" max="13" width="10.75" customWidth="1"/>
    <col min="14" max="14" width="24.75" hidden="1" customWidth="1"/>
    <col min="15" max="15" width="12.75" customWidth="1"/>
    <col min="16" max="16" width="10.75" customWidth="1"/>
    <col min="19" max="22" width="12.75" customWidth="1"/>
    <col min="23" max="27" width="11.75" customWidth="1"/>
    <col min="32" max="32" width="1.75" customWidth="1"/>
    <col min="34" max="37" width="10.75" customWidth="1"/>
    <col min="38" max="38" width="24.75" hidden="1" customWidth="1"/>
    <col min="39" max="39" width="12.75" customWidth="1"/>
    <col min="40" max="40" width="10.75" customWidth="1"/>
    <col min="43" max="46" width="12.75" customWidth="1"/>
    <col min="47" max="51" width="11.75" customWidth="1"/>
    <col min="56" max="56" width="1.75" customWidth="1"/>
    <col min="61" max="61" width="1.75" customWidth="1"/>
    <col min="64" max="66" width="11.75" customWidth="1"/>
    <col min="67" max="67" width="1.75" customWidth="1"/>
    <col min="70" max="72" width="11.75" customWidth="1"/>
    <col min="73" max="73" width="1.75" customWidth="1"/>
    <col min="74" max="74" width="10.75" bestFit="1" customWidth="1"/>
    <col min="75" max="75" width="12" bestFit="1" customWidth="1"/>
    <col min="76" max="76" width="10.625" customWidth="1"/>
    <col min="77" max="79" width="11.25" customWidth="1"/>
    <col min="82" max="84" width="9" style="51"/>
  </cols>
  <sheetData>
    <row r="1" spans="1:84" x14ac:dyDescent="0.15">
      <c r="A1" s="70" t="s">
        <v>50</v>
      </c>
      <c r="B1" s="62"/>
      <c r="C1" s="62"/>
      <c r="D1" s="62"/>
      <c r="E1" s="62"/>
      <c r="F1" s="62"/>
      <c r="G1" s="62"/>
      <c r="I1" s="71" t="e">
        <f>#REF!</f>
        <v>#REF!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G1" s="72" t="e">
        <f>#REF!</f>
        <v>#REF!</v>
      </c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</row>
    <row r="2" spans="1:84" ht="30" customHeight="1" thickBot="1" x14ac:dyDescent="0.2">
      <c r="A2" s="69" t="s">
        <v>51</v>
      </c>
      <c r="B2" s="67" t="s">
        <v>52</v>
      </c>
      <c r="C2" s="69" t="s">
        <v>53</v>
      </c>
      <c r="D2" s="67" t="s">
        <v>54</v>
      </c>
      <c r="E2" s="69" t="s">
        <v>55</v>
      </c>
      <c r="F2" s="67" t="s">
        <v>56</v>
      </c>
      <c r="G2" s="69" t="s">
        <v>57</v>
      </c>
      <c r="I2" s="67" t="s">
        <v>58</v>
      </c>
      <c r="J2" s="63" t="s">
        <v>59</v>
      </c>
      <c r="K2" s="62"/>
      <c r="L2" s="62"/>
      <c r="M2" s="62"/>
      <c r="N2" s="69" t="s">
        <v>60</v>
      </c>
      <c r="O2" s="67" t="s">
        <v>61</v>
      </c>
      <c r="P2" s="69" t="s">
        <v>33</v>
      </c>
      <c r="Q2" s="67" t="s">
        <v>35</v>
      </c>
      <c r="R2" s="69" t="s">
        <v>31</v>
      </c>
      <c r="S2" s="61" t="s">
        <v>62</v>
      </c>
      <c r="T2" s="62"/>
      <c r="U2" s="62"/>
      <c r="V2" s="62"/>
      <c r="W2" s="63" t="s">
        <v>63</v>
      </c>
      <c r="X2" s="62"/>
      <c r="Y2" s="61" t="s">
        <v>64</v>
      </c>
      <c r="Z2" s="62"/>
      <c r="AA2" s="62"/>
      <c r="AB2" s="63" t="s">
        <v>65</v>
      </c>
      <c r="AC2" s="62"/>
      <c r="AD2" s="61" t="s">
        <v>66</v>
      </c>
      <c r="AE2" s="62"/>
      <c r="AG2" s="69" t="s">
        <v>58</v>
      </c>
      <c r="AH2" s="61" t="s">
        <v>59</v>
      </c>
      <c r="AI2" s="62"/>
      <c r="AJ2" s="62"/>
      <c r="AK2" s="62"/>
      <c r="AL2" s="67" t="s">
        <v>67</v>
      </c>
      <c r="AM2" s="69" t="s">
        <v>61</v>
      </c>
      <c r="AN2" s="67" t="s">
        <v>33</v>
      </c>
      <c r="AO2" s="69" t="s">
        <v>35</v>
      </c>
      <c r="AP2" s="67" t="s">
        <v>31</v>
      </c>
      <c r="AQ2" s="63" t="s">
        <v>62</v>
      </c>
      <c r="AR2" s="62"/>
      <c r="AS2" s="62"/>
      <c r="AT2" s="62"/>
      <c r="AU2" s="61" t="s">
        <v>63</v>
      </c>
      <c r="AV2" s="62"/>
      <c r="AW2" s="63" t="s">
        <v>64</v>
      </c>
      <c r="AX2" s="62"/>
      <c r="AY2" s="62"/>
      <c r="AZ2" s="61" t="s">
        <v>65</v>
      </c>
      <c r="BA2" s="62"/>
      <c r="BB2" s="63" t="s">
        <v>66</v>
      </c>
      <c r="BC2" s="62"/>
      <c r="BE2" s="67" t="s">
        <v>68</v>
      </c>
      <c r="BF2" s="69" t="s">
        <v>69</v>
      </c>
      <c r="BG2" s="67" t="s">
        <v>70</v>
      </c>
      <c r="BH2" s="69" t="s">
        <v>70</v>
      </c>
      <c r="BJ2" s="61" t="s">
        <v>0</v>
      </c>
      <c r="BK2" s="62"/>
      <c r="BL2" s="63" t="s">
        <v>1</v>
      </c>
      <c r="BM2" s="62"/>
      <c r="BN2" s="62"/>
      <c r="BP2" s="61" t="s">
        <v>2</v>
      </c>
      <c r="BQ2" s="62"/>
      <c r="BR2" s="63" t="s">
        <v>3</v>
      </c>
      <c r="BS2" s="62"/>
      <c r="BT2" s="62"/>
      <c r="BV2" s="64" t="s">
        <v>478</v>
      </c>
      <c r="BW2" s="64"/>
      <c r="BX2" s="64"/>
      <c r="BY2" s="64"/>
      <c r="BZ2" s="66" t="s">
        <v>481</v>
      </c>
      <c r="CA2" s="66"/>
      <c r="CB2" s="66"/>
      <c r="CC2" s="66"/>
      <c r="CD2" s="65" t="s">
        <v>484</v>
      </c>
      <c r="CE2" s="64"/>
      <c r="CF2" s="64"/>
    </row>
    <row r="3" spans="1:84" ht="14.25" thickBot="1" x14ac:dyDescent="0.2">
      <c r="A3" s="68"/>
      <c r="B3" s="68"/>
      <c r="C3" s="68"/>
      <c r="D3" s="68"/>
      <c r="E3" s="68"/>
      <c r="F3" s="68"/>
      <c r="G3" s="68"/>
      <c r="I3" s="68"/>
      <c r="J3" s="48" t="s">
        <v>15</v>
      </c>
      <c r="K3" s="48" t="s">
        <v>13</v>
      </c>
      <c r="L3" s="48" t="s">
        <v>71</v>
      </c>
      <c r="M3" s="48" t="s">
        <v>72</v>
      </c>
      <c r="N3" s="68"/>
      <c r="O3" s="68"/>
      <c r="P3" s="68"/>
      <c r="Q3" s="68"/>
      <c r="R3" s="68"/>
      <c r="S3" s="49" t="s">
        <v>15</v>
      </c>
      <c r="T3" s="49" t="s">
        <v>71</v>
      </c>
      <c r="U3" s="49" t="s">
        <v>73</v>
      </c>
      <c r="V3" s="49" t="s">
        <v>14</v>
      </c>
      <c r="W3" s="48" t="s">
        <v>4</v>
      </c>
      <c r="X3" s="48" t="s">
        <v>5</v>
      </c>
      <c r="Y3" s="49" t="s">
        <v>6</v>
      </c>
      <c r="Z3" s="49" t="s">
        <v>7</v>
      </c>
      <c r="AA3" s="49" t="s">
        <v>8</v>
      </c>
      <c r="AB3" s="48" t="s">
        <v>74</v>
      </c>
      <c r="AC3" s="48" t="s">
        <v>75</v>
      </c>
      <c r="AD3" s="49" t="s">
        <v>74</v>
      </c>
      <c r="AE3" s="49" t="s">
        <v>75</v>
      </c>
      <c r="AG3" s="68"/>
      <c r="AH3" s="49" t="s">
        <v>15</v>
      </c>
      <c r="AI3" s="49" t="s">
        <v>13</v>
      </c>
      <c r="AJ3" s="49" t="s">
        <v>71</v>
      </c>
      <c r="AK3" s="49" t="s">
        <v>72</v>
      </c>
      <c r="AL3" s="68"/>
      <c r="AM3" s="68"/>
      <c r="AN3" s="68"/>
      <c r="AO3" s="68"/>
      <c r="AP3" s="68"/>
      <c r="AQ3" s="48" t="s">
        <v>15</v>
      </c>
      <c r="AR3" s="48" t="s">
        <v>71</v>
      </c>
      <c r="AS3" s="48" t="s">
        <v>73</v>
      </c>
      <c r="AT3" s="48" t="s">
        <v>14</v>
      </c>
      <c r="AU3" s="49" t="s">
        <v>4</v>
      </c>
      <c r="AV3" s="49" t="s">
        <v>5</v>
      </c>
      <c r="AW3" s="48" t="s">
        <v>6</v>
      </c>
      <c r="AX3" s="48" t="s">
        <v>7</v>
      </c>
      <c r="AY3" s="48" t="s">
        <v>8</v>
      </c>
      <c r="AZ3" s="49" t="s">
        <v>74</v>
      </c>
      <c r="BA3" s="49" t="s">
        <v>75</v>
      </c>
      <c r="BB3" s="48" t="s">
        <v>74</v>
      </c>
      <c r="BC3" s="48" t="s">
        <v>75</v>
      </c>
      <c r="BE3" s="68"/>
      <c r="BF3" s="68"/>
      <c r="BG3" s="68"/>
      <c r="BH3" s="68"/>
      <c r="BJ3" s="49" t="s">
        <v>4</v>
      </c>
      <c r="BK3" s="49" t="s">
        <v>5</v>
      </c>
      <c r="BL3" s="48" t="s">
        <v>6</v>
      </c>
      <c r="BM3" s="48" t="s">
        <v>7</v>
      </c>
      <c r="BN3" s="48" t="s">
        <v>8</v>
      </c>
      <c r="BP3" s="49" t="s">
        <v>4</v>
      </c>
      <c r="BQ3" s="49" t="s">
        <v>5</v>
      </c>
      <c r="BR3" s="48" t="s">
        <v>6</v>
      </c>
      <c r="BS3" s="48" t="s">
        <v>7</v>
      </c>
      <c r="BT3" s="48" t="s">
        <v>8</v>
      </c>
      <c r="BV3" s="50" t="s">
        <v>71</v>
      </c>
      <c r="BW3" s="50" t="s">
        <v>479</v>
      </c>
      <c r="BX3" s="50" t="s">
        <v>480</v>
      </c>
      <c r="BY3" s="56" t="s">
        <v>487</v>
      </c>
      <c r="BZ3" s="53" t="s">
        <v>485</v>
      </c>
      <c r="CA3" s="50" t="s">
        <v>486</v>
      </c>
      <c r="CB3" s="50" t="s">
        <v>480</v>
      </c>
      <c r="CC3" s="56" t="s">
        <v>487</v>
      </c>
      <c r="CD3" s="50" t="s">
        <v>482</v>
      </c>
      <c r="CE3" s="50" t="s">
        <v>483</v>
      </c>
      <c r="CF3" s="50" t="s">
        <v>480</v>
      </c>
    </row>
    <row r="4" spans="1:84" ht="123" hidden="1" customHeight="1" x14ac:dyDescent="0.15">
      <c r="A4" s="1" t="s">
        <v>76</v>
      </c>
      <c r="B4" s="2" t="s">
        <v>77</v>
      </c>
      <c r="C4" s="1" t="s">
        <v>78</v>
      </c>
      <c r="D4" s="2" t="s">
        <v>79</v>
      </c>
      <c r="E4" s="1" t="s">
        <v>80</v>
      </c>
      <c r="F4" s="2" t="s">
        <v>81</v>
      </c>
      <c r="G4" s="1" t="s">
        <v>82</v>
      </c>
      <c r="I4" s="2" t="s">
        <v>83</v>
      </c>
      <c r="J4" s="1" t="s">
        <v>84</v>
      </c>
      <c r="K4" s="1" t="s">
        <v>85</v>
      </c>
      <c r="L4" s="1" t="s">
        <v>86</v>
      </c>
      <c r="M4" s="1" t="s">
        <v>87</v>
      </c>
      <c r="N4" s="1" t="s">
        <v>88</v>
      </c>
      <c r="O4" s="2" t="s">
        <v>89</v>
      </c>
      <c r="P4" s="1" t="s">
        <v>90</v>
      </c>
      <c r="Q4" s="2" t="s">
        <v>91</v>
      </c>
      <c r="R4" s="1" t="s">
        <v>92</v>
      </c>
      <c r="S4" s="2" t="s">
        <v>93</v>
      </c>
      <c r="T4" s="2" t="s">
        <v>94</v>
      </c>
      <c r="U4" s="2" t="s">
        <v>95</v>
      </c>
      <c r="V4" s="2" t="s">
        <v>96</v>
      </c>
      <c r="W4" s="1" t="s">
        <v>97</v>
      </c>
      <c r="X4" s="1" t="s">
        <v>98</v>
      </c>
      <c r="Y4" s="2" t="s">
        <v>99</v>
      </c>
      <c r="Z4" s="2" t="s">
        <v>100</v>
      </c>
      <c r="AA4" s="2" t="s">
        <v>101</v>
      </c>
      <c r="AB4" s="1" t="s">
        <v>102</v>
      </c>
      <c r="AC4" s="1" t="s">
        <v>103</v>
      </c>
      <c r="AD4" s="2" t="s">
        <v>104</v>
      </c>
      <c r="AE4" s="2" t="s">
        <v>105</v>
      </c>
      <c r="AG4" s="1" t="s">
        <v>106</v>
      </c>
      <c r="AH4" s="2" t="s">
        <v>107</v>
      </c>
      <c r="AI4" s="2" t="s">
        <v>108</v>
      </c>
      <c r="AJ4" s="2" t="s">
        <v>109</v>
      </c>
      <c r="AK4" s="2" t="s">
        <v>110</v>
      </c>
      <c r="AL4" s="2" t="s">
        <v>111</v>
      </c>
      <c r="AM4" s="1" t="s">
        <v>112</v>
      </c>
      <c r="AN4" s="2" t="s">
        <v>113</v>
      </c>
      <c r="AO4" s="1" t="s">
        <v>114</v>
      </c>
      <c r="AP4" s="2" t="s">
        <v>115</v>
      </c>
      <c r="AQ4" s="1" t="s">
        <v>116</v>
      </c>
      <c r="AR4" s="1" t="s">
        <v>117</v>
      </c>
      <c r="AS4" s="1" t="s">
        <v>118</v>
      </c>
      <c r="AT4" s="1" t="s">
        <v>119</v>
      </c>
      <c r="AU4" s="2" t="s">
        <v>120</v>
      </c>
      <c r="AV4" s="2" t="s">
        <v>121</v>
      </c>
      <c r="AW4" s="1" t="s">
        <v>122</v>
      </c>
      <c r="AX4" s="1" t="s">
        <v>123</v>
      </c>
      <c r="AY4" s="1" t="s">
        <v>124</v>
      </c>
      <c r="AZ4" s="2" t="s">
        <v>125</v>
      </c>
      <c r="BA4" s="2" t="s">
        <v>126</v>
      </c>
      <c r="BB4" s="1" t="s">
        <v>127</v>
      </c>
      <c r="BC4" s="1" t="s">
        <v>128</v>
      </c>
      <c r="BE4" s="2" t="s">
        <v>129</v>
      </c>
      <c r="BF4" s="1" t="s">
        <v>130</v>
      </c>
      <c r="BG4" s="2" t="s">
        <v>131</v>
      </c>
      <c r="BH4" s="1" t="s">
        <v>132</v>
      </c>
      <c r="BJ4" s="2" t="s">
        <v>133</v>
      </c>
      <c r="BK4" s="2" t="s">
        <v>134</v>
      </c>
      <c r="BL4" s="1" t="s">
        <v>135</v>
      </c>
      <c r="BM4" s="1" t="s">
        <v>136</v>
      </c>
      <c r="BN4" s="1" t="s">
        <v>137</v>
      </c>
      <c r="BP4" s="2" t="s">
        <v>138</v>
      </c>
      <c r="BQ4" s="2" t="s">
        <v>139</v>
      </c>
      <c r="BR4" s="1" t="s">
        <v>140</v>
      </c>
      <c r="BS4" s="1" t="s">
        <v>141</v>
      </c>
      <c r="BT4" s="1" t="s">
        <v>142</v>
      </c>
      <c r="BZ4" s="54"/>
      <c r="CC4" s="57"/>
    </row>
    <row r="5" spans="1:84" x14ac:dyDescent="0.15">
      <c r="A5" s="46" t="s">
        <v>143</v>
      </c>
      <c r="B5" s="46" t="s">
        <v>17</v>
      </c>
      <c r="C5" s="3" t="s">
        <v>144</v>
      </c>
      <c r="D5" s="46">
        <v>238146391</v>
      </c>
      <c r="E5" s="3">
        <v>10</v>
      </c>
      <c r="F5" s="3">
        <v>32</v>
      </c>
      <c r="G5" s="3">
        <v>30</v>
      </c>
      <c r="I5" s="4">
        <f t="shared" ref="I5:I39" si="0">IF(OR(ISBLANK(S5),ISBLANK(G5)),"·",S5*G5/F5/1000000)</f>
        <v>2.1789900000000002</v>
      </c>
      <c r="J5" s="5">
        <f t="shared" ref="J5:J39" si="1">IF(ISBLANK(S5),"·",S5/D5)</f>
        <v>9.7597783877396652E-3</v>
      </c>
      <c r="K5" s="5">
        <f t="shared" ref="K5:K39" si="2">IF(N5="","·",N5/D5)</f>
        <v>6.1712629522905514E-3</v>
      </c>
      <c r="L5" s="5">
        <f t="shared" ref="L5:L39" si="3">IF(T5="","·",T5/D5)</f>
        <v>3.5270742356116581E-3</v>
      </c>
      <c r="M5" s="5">
        <f t="shared" ref="M5:M39" si="4">IF(ISBLANK(V5),"·",V5/D5)</f>
        <v>3.5885154354491143E-3</v>
      </c>
      <c r="N5" s="46">
        <f t="shared" ref="N5:N39" si="5">IF(OR(ISBLANK(T5),ISBLANK(U5)),"",T5+U5)</f>
        <v>1469664</v>
      </c>
      <c r="O5" s="5">
        <v>-12</v>
      </c>
      <c r="P5" s="6">
        <v>21771728</v>
      </c>
      <c r="Q5" s="6">
        <v>680366.5</v>
      </c>
      <c r="R5" s="6">
        <v>13458.65625</v>
      </c>
      <c r="S5" s="7">
        <v>2324256</v>
      </c>
      <c r="T5" s="7">
        <v>839960</v>
      </c>
      <c r="U5" s="7">
        <v>629704</v>
      </c>
      <c r="V5" s="7">
        <v>854592</v>
      </c>
      <c r="W5" s="8">
        <v>66.355962500000004</v>
      </c>
      <c r="X5" s="8">
        <v>68.483328125</v>
      </c>
      <c r="Y5" s="8">
        <v>32.113043750000003</v>
      </c>
      <c r="Z5" s="8">
        <v>44.188546875</v>
      </c>
      <c r="AA5" s="8">
        <v>43.811181249999898</v>
      </c>
      <c r="AB5" s="9">
        <v>431.88900000000001</v>
      </c>
      <c r="AC5" s="9">
        <v>404.07100000000003</v>
      </c>
      <c r="AD5" s="9">
        <v>1435.05</v>
      </c>
      <c r="AE5" s="9">
        <v>9.9529999999999994</v>
      </c>
      <c r="AG5" s="4">
        <f t="shared" ref="AG5:AG39" si="6">IF(OR(ISBLANK(AQ5),ISBLANK(G5)),"·",AQ5*G5/F5/1000000)</f>
        <v>2.1810749999999999</v>
      </c>
      <c r="AH5" s="5">
        <f t="shared" ref="AH5:AH39" si="7">IF(ISBLANK(AQ5),"·",AQ5/D5)</f>
        <v>9.7691171813726954E-3</v>
      </c>
      <c r="AI5" s="5">
        <f t="shared" ref="AI5:AI39" si="8">IF(AL5="","·",AL5/D5)</f>
        <v>6.182449348980476E-3</v>
      </c>
      <c r="AJ5" s="5">
        <f t="shared" ref="AJ5:AJ39" si="9">IF(AR5="","·",AR5/D5)</f>
        <v>3.5382606323015827E-3</v>
      </c>
      <c r="AK5" s="5">
        <f t="shared" ref="AK5:AK39" si="10">IF(ISBLANK(AT5),"·",AT5/D5)</f>
        <v>3.5866678323922198E-3</v>
      </c>
      <c r="AL5" s="46">
        <f t="shared" ref="AL5:AL39" si="11">IF(OR(ISBLANK(AR5),ISBLANK(AS5)),"",AR5+AS5)</f>
        <v>1472328</v>
      </c>
      <c r="AM5" s="5">
        <v>-12</v>
      </c>
      <c r="AN5" s="6"/>
      <c r="AO5" s="6"/>
      <c r="AP5" s="6"/>
      <c r="AQ5" s="7">
        <v>2326480</v>
      </c>
      <c r="AR5" s="7">
        <v>842624</v>
      </c>
      <c r="AS5" s="7">
        <v>629704</v>
      </c>
      <c r="AT5" s="7">
        <v>854152</v>
      </c>
      <c r="AU5" s="8">
        <v>66.364540624999904</v>
      </c>
      <c r="AV5" s="8">
        <v>68.475568749999994</v>
      </c>
      <c r="AW5" s="8">
        <v>32.106934375000002</v>
      </c>
      <c r="AX5" s="8">
        <v>44.166478124999998</v>
      </c>
      <c r="AY5" s="8">
        <v>43.821046874999901</v>
      </c>
      <c r="AZ5" s="9">
        <v>118.867</v>
      </c>
      <c r="BA5" s="9">
        <v>117.102</v>
      </c>
      <c r="BB5" s="9">
        <v>834.54600000000005</v>
      </c>
      <c r="BC5" s="9">
        <v>9.7810000000000006</v>
      </c>
      <c r="BE5" s="44">
        <f t="shared" ref="BE5:BE43" si="12">AI5/K5</f>
        <v>1.0018126592200665</v>
      </c>
      <c r="BF5" s="10" t="e">
        <f t="shared" ref="BF5:BF39" si="13">(AP5/AO5) - (R5/Q5)</f>
        <v>#DIV/0!</v>
      </c>
      <c r="BG5" s="10">
        <f t="shared" ref="BG5:BG39" si="14">(AL5/AQ5) - (N5/S5)</f>
        <v>5.4061477503142275E-4</v>
      </c>
      <c r="BH5" s="10">
        <f t="array" ref="BH5">AVERAGE(AL5:AL9/AQ5:AQ9) - AVERAGE(N5:N9/S5:S9)</f>
        <v>2.1637101377114387E-4</v>
      </c>
      <c r="BJ5" s="44">
        <f>IF( OR(ISBLANK(N5:N9),ISBLANK(AL5:AL9), ISBLANK(W5:W9),ISBLANK(AU5:AU9)), "·", bdRateExtend( N5:N9,W5:W9, AL5:AL9,AU5:AU9))</f>
        <v>1.5478162501603165E-4</v>
      </c>
      <c r="BK5" s="44">
        <f>IF( OR(ISBLANK(N5:N9),ISBLANK(AL5:AL9), ISBLANK(X5:X9),ISBLANK(AV5:AV9)), "·", bdRateExtend( N5:N9,X5:X9, AL5:AL9,AV5:AV9))</f>
        <v>1.0905922017461211E-3</v>
      </c>
      <c r="BL5" s="44">
        <f>IF( OR(ISBLANK(V5:V9),ISBLANK(AT5:AT9), ISBLANK(Y5:Y9),ISBLANK(AW5:AW9)), "·", bdRateExtend( V5:V9,Y5:Y9, AT5:AT9,AW5:AW9))</f>
        <v>1.1653021465400926E-3</v>
      </c>
      <c r="BM5" s="44">
        <f>IF( OR(ISBLANK(V5:V9),ISBLANK(AT5:AT9), ISBLANK(Z5:Z9),ISBLANK(AX5:AX9)), "·", bdRateExtend( V5:V9,Z5:Z9, AT5:AT9,AX5:AX9))</f>
        <v>3.103298300470847E-3</v>
      </c>
      <c r="BN5" s="44">
        <f>IF( OR(ISBLANK(V5:V9),ISBLANK(AT5:AT9), ISBLANK(AA5:AA9),ISBLANK(AY5:AY9)), "·", bdRateExtend( V5:V9,AA5:AA9, AT5:AT9,AY5:AY9))</f>
        <v>-1.1147523113553826E-3</v>
      </c>
      <c r="BP5" s="44">
        <f>IF( OR(ISBLANK(S5:S9),ISBLANK(AQ5:AQ9), ISBLANK(W5:W9),ISBLANK(AU5:AU9)), "·", bdRateExtend( S5:S9,W5:W9, AQ5:AQ9,AU5:AU9))</f>
        <v>-1.0002118825286344E-3</v>
      </c>
      <c r="BQ5" s="44">
        <f>IF( OR(ISBLANK(S5:S9),ISBLANK(AQ5:AQ9), ISBLANK(X5:X9),ISBLANK(AV5:AV9)), "·", bdRateExtend( S5:S9,X5:X9, AQ5:AQ9,AV5:AV9))</f>
        <v>7.3431776691301742E-4</v>
      </c>
      <c r="BR5" s="44">
        <f>IF( OR(ISBLANK(S5:S9),ISBLANK(AQ5:AQ9), ISBLANK(Y5:Y9),ISBLANK(AW5:AW9)), "·", bdRateExtend( S5:S9,Y5:Y9, AQ5:AQ9,AW5:AW9))</f>
        <v>1.2144941310243684E-3</v>
      </c>
      <c r="BS5" s="44">
        <f>IF( OR(ISBLANK(S5:S9),ISBLANK(AQ5:AQ9), ISBLANK(Z5:Z9),ISBLANK(AX5:AX9)), "·", bdRateExtend( S5:S9,Z5:Z9, AQ5:AQ9,AX5:AX9))</f>
        <v>2.3560673300284662E-3</v>
      </c>
      <c r="BT5" s="44">
        <f>IF( OR(ISBLANK(S5:S9),ISBLANK(AQ5:AQ9), ISBLANK(AA5:AA9),ISBLANK(AY5:AY9)), "·", bdRateExtend( S5:S9,AA5:AA9, AQ5:AQ9,AY5:AY9))</f>
        <v>-7.3347506510346161E-4</v>
      </c>
      <c r="BV5" s="51">
        <f t="shared" ref="BV5:BV39" si="15">(AB5-AZ5)/AB5</f>
        <v>0.72477418966447393</v>
      </c>
      <c r="BW5" s="51">
        <f t="shared" ref="BW5:BW39" si="16">(AC5-BA5)/AC5</f>
        <v>0.71019449552182667</v>
      </c>
      <c r="BX5" s="51">
        <f t="shared" ref="BX5:BX39" si="17">(AD5-BB5)/AD5</f>
        <v>0.41845510609386427</v>
      </c>
      <c r="BY5" s="51">
        <f>AVERAGE(BV5:BW5)</f>
        <v>0.7174843425931503</v>
      </c>
      <c r="BZ5" s="55"/>
      <c r="CA5" s="51"/>
      <c r="CC5" s="57"/>
    </row>
    <row r="6" spans="1:84" outlineLevel="1" x14ac:dyDescent="0.15">
      <c r="A6" s="11"/>
      <c r="B6" s="11" t="s">
        <v>17</v>
      </c>
      <c r="C6" s="12" t="s">
        <v>145</v>
      </c>
      <c r="D6" s="11">
        <v>238146391</v>
      </c>
      <c r="E6" s="12">
        <v>10</v>
      </c>
      <c r="F6" s="12">
        <v>32</v>
      </c>
      <c r="G6" s="12">
        <v>30</v>
      </c>
      <c r="I6" s="13">
        <f t="shared" si="0"/>
        <v>3.388665</v>
      </c>
      <c r="J6" s="14">
        <f t="shared" si="1"/>
        <v>1.5177958334040006E-2</v>
      </c>
      <c r="K6" s="14">
        <f t="shared" si="2"/>
        <v>7.5204498900006429E-3</v>
      </c>
      <c r="L6" s="14">
        <f t="shared" si="3"/>
        <v>4.8762611733217491E-3</v>
      </c>
      <c r="M6" s="14">
        <f t="shared" si="4"/>
        <v>7.6575084440393638E-3</v>
      </c>
      <c r="N6" s="11">
        <f t="shared" si="5"/>
        <v>1790968</v>
      </c>
      <c r="O6" s="14">
        <v>-12</v>
      </c>
      <c r="P6" s="15">
        <v>24147688</v>
      </c>
      <c r="Q6" s="15">
        <v>754615.25</v>
      </c>
      <c r="R6" s="15">
        <v>19012.03125</v>
      </c>
      <c r="S6" s="16">
        <v>3614576</v>
      </c>
      <c r="T6" s="16">
        <v>1161264</v>
      </c>
      <c r="U6" s="16">
        <v>629704</v>
      </c>
      <c r="V6" s="16">
        <v>1823608</v>
      </c>
      <c r="W6" s="17">
        <v>68.241949999999903</v>
      </c>
      <c r="X6" s="17">
        <v>70.429959374999996</v>
      </c>
      <c r="Y6" s="17">
        <v>34.357659374999997</v>
      </c>
      <c r="Z6" s="17">
        <v>45.4717531249999</v>
      </c>
      <c r="AA6" s="17">
        <v>45.224109374999998</v>
      </c>
      <c r="AB6" s="18">
        <v>463.45600000000002</v>
      </c>
      <c r="AC6" s="18">
        <v>410.53100000000001</v>
      </c>
      <c r="AD6" s="18">
        <v>1478.13</v>
      </c>
      <c r="AE6" s="18">
        <v>9.859</v>
      </c>
      <c r="AG6" s="13">
        <f t="shared" si="6"/>
        <v>3.3919350000000001</v>
      </c>
      <c r="AH6" s="14">
        <f t="shared" si="7"/>
        <v>1.5192604787363752E-2</v>
      </c>
      <c r="AI6" s="14">
        <f t="shared" si="8"/>
        <v>7.5308300599021046E-3</v>
      </c>
      <c r="AJ6" s="14">
        <f t="shared" si="9"/>
        <v>4.8866413432232109E-3</v>
      </c>
      <c r="AK6" s="14">
        <f t="shared" si="10"/>
        <v>7.6617747274616479E-3</v>
      </c>
      <c r="AL6" s="11">
        <f t="shared" si="11"/>
        <v>1793440</v>
      </c>
      <c r="AM6" s="14">
        <v>-12</v>
      </c>
      <c r="AN6" s="15"/>
      <c r="AO6" s="15"/>
      <c r="AP6" s="15"/>
      <c r="AQ6" s="16">
        <v>3618064</v>
      </c>
      <c r="AR6" s="16">
        <v>1163736</v>
      </c>
      <c r="AS6" s="16">
        <v>629704</v>
      </c>
      <c r="AT6" s="16">
        <v>1824624</v>
      </c>
      <c r="AU6" s="17">
        <v>68.241524999999996</v>
      </c>
      <c r="AV6" s="17">
        <v>70.422715624999995</v>
      </c>
      <c r="AW6" s="17">
        <v>34.353284374999902</v>
      </c>
      <c r="AX6" s="17">
        <v>45.468962499999897</v>
      </c>
      <c r="AY6" s="17">
        <v>45.221084374999997</v>
      </c>
      <c r="AZ6" s="18">
        <v>154.98400000000001</v>
      </c>
      <c r="BA6" s="18">
        <v>129.63399999999999</v>
      </c>
      <c r="BB6" s="18">
        <v>888.07799999999997</v>
      </c>
      <c r="BC6" s="18">
        <v>9.8279999999999994</v>
      </c>
      <c r="BE6" s="43">
        <f t="shared" si="12"/>
        <v>1.0013802591671097</v>
      </c>
      <c r="BF6" s="19" t="e">
        <f t="shared" si="13"/>
        <v>#DIV/0!</v>
      </c>
      <c r="BG6" s="19">
        <f t="shared" si="14"/>
        <v>2.0556532519294679E-4</v>
      </c>
      <c r="BH6" s="19"/>
      <c r="BJ6" s="43"/>
      <c r="BK6" s="43"/>
      <c r="BL6" s="43"/>
      <c r="BM6" s="43"/>
      <c r="BN6" s="43"/>
      <c r="BP6" s="43"/>
      <c r="BQ6" s="43"/>
      <c r="BR6" s="43"/>
      <c r="BS6" s="43"/>
      <c r="BT6" s="43"/>
      <c r="BV6" s="51">
        <f t="shared" si="15"/>
        <v>0.66559069253607672</v>
      </c>
      <c r="BW6" s="51">
        <f t="shared" si="16"/>
        <v>0.68422847482894111</v>
      </c>
      <c r="BX6" s="51">
        <f t="shared" si="17"/>
        <v>0.39918816342270308</v>
      </c>
      <c r="BY6" s="51">
        <f t="shared" ref="BY6:BY39" si="18">AVERAGE(BV6:BW6)</f>
        <v>0.67490958368250897</v>
      </c>
      <c r="BZ6" s="55"/>
      <c r="CA6" s="51"/>
      <c r="CC6" s="57"/>
    </row>
    <row r="7" spans="1:84" outlineLevel="1" x14ac:dyDescent="0.15">
      <c r="A7" s="46"/>
      <c r="B7" s="46" t="s">
        <v>17</v>
      </c>
      <c r="C7" s="3" t="s">
        <v>146</v>
      </c>
      <c r="D7" s="46">
        <v>238146391</v>
      </c>
      <c r="E7" s="3">
        <v>10</v>
      </c>
      <c r="F7" s="3">
        <v>32</v>
      </c>
      <c r="G7" s="3">
        <v>30</v>
      </c>
      <c r="I7" s="4">
        <f t="shared" si="0"/>
        <v>5.5621875000000003</v>
      </c>
      <c r="J7" s="5">
        <f t="shared" si="1"/>
        <v>2.4913247583080108E-2</v>
      </c>
      <c r="K7" s="5">
        <f t="shared" si="2"/>
        <v>9.4649681254250044E-3</v>
      </c>
      <c r="L7" s="5">
        <f t="shared" si="3"/>
        <v>6.8207794087461106E-3</v>
      </c>
      <c r="M7" s="5">
        <f t="shared" si="4"/>
        <v>1.5448279457655102E-2</v>
      </c>
      <c r="N7" s="46">
        <f t="shared" si="5"/>
        <v>2254048</v>
      </c>
      <c r="O7" s="5">
        <v>-12</v>
      </c>
      <c r="P7" s="6">
        <v>24798303</v>
      </c>
      <c r="Q7" s="6">
        <v>774946.96875</v>
      </c>
      <c r="R7" s="6">
        <v>20946</v>
      </c>
      <c r="S7" s="7">
        <v>5933000</v>
      </c>
      <c r="T7" s="7">
        <v>1624344</v>
      </c>
      <c r="U7" s="7">
        <v>629704</v>
      </c>
      <c r="V7" s="7">
        <v>3678952</v>
      </c>
      <c r="W7" s="8">
        <v>69.679040624999999</v>
      </c>
      <c r="X7" s="8">
        <v>72.1286249999999</v>
      </c>
      <c r="Y7" s="8">
        <v>36.89405</v>
      </c>
      <c r="Z7" s="8">
        <v>46.603406249999999</v>
      </c>
      <c r="AA7" s="8">
        <v>46.480725</v>
      </c>
      <c r="AB7" s="9">
        <v>494.35500000000002</v>
      </c>
      <c r="AC7" s="9">
        <v>423.44600000000003</v>
      </c>
      <c r="AD7" s="9">
        <v>1530.16</v>
      </c>
      <c r="AE7" s="9">
        <v>9.7650000000000006</v>
      </c>
      <c r="AG7" s="4">
        <f t="shared" si="6"/>
        <v>5.5623300000000002</v>
      </c>
      <c r="AH7" s="5">
        <f t="shared" si="7"/>
        <v>2.4913885845954307E-2</v>
      </c>
      <c r="AI7" s="5">
        <f t="shared" si="8"/>
        <v>9.4618104038368574E-3</v>
      </c>
      <c r="AJ7" s="5">
        <f t="shared" si="9"/>
        <v>6.8176216871579636E-3</v>
      </c>
      <c r="AK7" s="5">
        <f t="shared" si="10"/>
        <v>1.5452075442117449E-2</v>
      </c>
      <c r="AL7" s="46">
        <f t="shared" si="11"/>
        <v>2253296</v>
      </c>
      <c r="AM7" s="5">
        <v>-12</v>
      </c>
      <c r="AN7" s="6"/>
      <c r="AO7" s="6"/>
      <c r="AP7" s="6"/>
      <c r="AQ7" s="7">
        <v>5933152</v>
      </c>
      <c r="AR7" s="7">
        <v>1623592</v>
      </c>
      <c r="AS7" s="7">
        <v>629704</v>
      </c>
      <c r="AT7" s="7">
        <v>3679856</v>
      </c>
      <c r="AU7" s="8">
        <v>69.688243749999899</v>
      </c>
      <c r="AV7" s="8">
        <v>72.125121875000005</v>
      </c>
      <c r="AW7" s="8">
        <v>36.889968750000001</v>
      </c>
      <c r="AX7" s="8">
        <v>46.586462500000003</v>
      </c>
      <c r="AY7" s="8">
        <v>46.463012499999998</v>
      </c>
      <c r="AZ7" s="9">
        <v>212.863</v>
      </c>
      <c r="BA7" s="9">
        <v>154.10300000000001</v>
      </c>
      <c r="BB7" s="9">
        <v>971.29600000000005</v>
      </c>
      <c r="BC7" s="9">
        <v>9.875</v>
      </c>
      <c r="BE7" s="44">
        <f t="shared" si="12"/>
        <v>0.99966637800082336</v>
      </c>
      <c r="BF7" s="10" t="e">
        <f t="shared" si="13"/>
        <v>#DIV/0!</v>
      </c>
      <c r="BG7" s="10">
        <f t="shared" si="14"/>
        <v>-1.3647845112463308E-4</v>
      </c>
      <c r="BH7" s="10"/>
      <c r="BJ7" s="44"/>
      <c r="BK7" s="44"/>
      <c r="BL7" s="44"/>
      <c r="BM7" s="44"/>
      <c r="BN7" s="44"/>
      <c r="BP7" s="44"/>
      <c r="BQ7" s="44"/>
      <c r="BR7" s="44"/>
      <c r="BS7" s="44"/>
      <c r="BT7" s="44"/>
      <c r="BV7" s="51">
        <f t="shared" si="15"/>
        <v>0.56941266903338694</v>
      </c>
      <c r="BW7" s="51">
        <f t="shared" si="16"/>
        <v>0.63607402124473955</v>
      </c>
      <c r="BX7" s="51">
        <f t="shared" si="17"/>
        <v>0.36523239399801327</v>
      </c>
      <c r="BY7" s="51">
        <f t="shared" si="18"/>
        <v>0.60274334513906325</v>
      </c>
      <c r="BZ7" s="55"/>
      <c r="CA7" s="51"/>
      <c r="CC7" s="57"/>
    </row>
    <row r="8" spans="1:84" outlineLevel="1" x14ac:dyDescent="0.15">
      <c r="A8" s="11"/>
      <c r="B8" s="11" t="s">
        <v>17</v>
      </c>
      <c r="C8" s="12" t="s">
        <v>147</v>
      </c>
      <c r="D8" s="11">
        <v>238146391</v>
      </c>
      <c r="E8" s="12">
        <v>10</v>
      </c>
      <c r="F8" s="12">
        <v>32</v>
      </c>
      <c r="G8" s="12">
        <v>30</v>
      </c>
      <c r="I8" s="13">
        <f t="shared" si="0"/>
        <v>9.4267649999999996</v>
      </c>
      <c r="J8" s="14">
        <f t="shared" si="1"/>
        <v>4.2222835953033611E-2</v>
      </c>
      <c r="K8" s="14">
        <f t="shared" si="2"/>
        <v>1.2729682726957639E-2</v>
      </c>
      <c r="L8" s="14">
        <f t="shared" si="3"/>
        <v>1.0085494010278745E-2</v>
      </c>
      <c r="M8" s="14">
        <f t="shared" si="4"/>
        <v>2.9493153226075972E-2</v>
      </c>
      <c r="N8" s="11">
        <f t="shared" si="5"/>
        <v>3031528</v>
      </c>
      <c r="O8" s="14">
        <v>-12</v>
      </c>
      <c r="P8" s="15">
        <v>25806958</v>
      </c>
      <c r="Q8" s="15">
        <v>806467.4375</v>
      </c>
      <c r="R8" s="15">
        <v>24305.84375</v>
      </c>
      <c r="S8" s="16">
        <v>10055216</v>
      </c>
      <c r="T8" s="16">
        <v>2401824</v>
      </c>
      <c r="U8" s="16">
        <v>629704</v>
      </c>
      <c r="V8" s="16">
        <v>7023688</v>
      </c>
      <c r="W8" s="17">
        <v>70.829490625000005</v>
      </c>
      <c r="X8" s="17">
        <v>73.399412499999997</v>
      </c>
      <c r="Y8" s="17">
        <v>39.521596875</v>
      </c>
      <c r="Z8" s="17">
        <v>47.923753124999998</v>
      </c>
      <c r="AA8" s="17">
        <v>47.9429374999999</v>
      </c>
      <c r="AB8" s="18">
        <v>535.47900000000004</v>
      </c>
      <c r="AC8" s="18">
        <v>446.67</v>
      </c>
      <c r="AD8" s="18">
        <v>1586.61</v>
      </c>
      <c r="AE8" s="18">
        <v>9.875</v>
      </c>
      <c r="AG8" s="13">
        <f t="shared" si="6"/>
        <v>9.4294274999999992</v>
      </c>
      <c r="AH8" s="14">
        <f t="shared" si="7"/>
        <v>4.2234761390946292E-2</v>
      </c>
      <c r="AI8" s="14">
        <f t="shared" si="8"/>
        <v>1.2750006360583477E-2</v>
      </c>
      <c r="AJ8" s="14">
        <f t="shared" si="9"/>
        <v>1.0105817643904585E-2</v>
      </c>
      <c r="AK8" s="14">
        <f t="shared" si="10"/>
        <v>2.9484755030362814E-2</v>
      </c>
      <c r="AL8" s="11">
        <f t="shared" si="11"/>
        <v>3036368</v>
      </c>
      <c r="AM8" s="14">
        <v>-12</v>
      </c>
      <c r="AN8" s="15"/>
      <c r="AO8" s="15"/>
      <c r="AP8" s="15"/>
      <c r="AQ8" s="16">
        <v>10058056</v>
      </c>
      <c r="AR8" s="16">
        <v>2406664</v>
      </c>
      <c r="AS8" s="16">
        <v>629704</v>
      </c>
      <c r="AT8" s="16">
        <v>7021688</v>
      </c>
      <c r="AU8" s="17">
        <v>70.834165624999997</v>
      </c>
      <c r="AV8" s="17">
        <v>73.407896874999906</v>
      </c>
      <c r="AW8" s="17">
        <v>39.517837499999899</v>
      </c>
      <c r="AX8" s="17">
        <v>47.925593749999997</v>
      </c>
      <c r="AY8" s="17">
        <v>47.964665625000002</v>
      </c>
      <c r="AZ8" s="18">
        <v>288.11500000000001</v>
      </c>
      <c r="BA8" s="18">
        <v>191.71700000000001</v>
      </c>
      <c r="BB8" s="18">
        <v>1087.98</v>
      </c>
      <c r="BC8" s="18">
        <v>9.7810000000000006</v>
      </c>
      <c r="BE8" s="43">
        <f t="shared" si="12"/>
        <v>1.0015965546087648</v>
      </c>
      <c r="BF8" s="19" t="e">
        <f t="shared" si="13"/>
        <v>#DIV/0!</v>
      </c>
      <c r="BG8" s="19">
        <f t="shared" si="14"/>
        <v>3.9607790875889615E-4</v>
      </c>
      <c r="BH8" s="19"/>
      <c r="BJ8" s="43"/>
      <c r="BK8" s="43"/>
      <c r="BL8" s="43"/>
      <c r="BM8" s="43"/>
      <c r="BN8" s="43"/>
      <c r="BP8" s="43"/>
      <c r="BQ8" s="43"/>
      <c r="BR8" s="43"/>
      <c r="BS8" s="43"/>
      <c r="BT8" s="43"/>
      <c r="BV8" s="51">
        <f t="shared" si="15"/>
        <v>0.4619490213435074</v>
      </c>
      <c r="BW8" s="51">
        <f t="shared" si="16"/>
        <v>0.57078603891015733</v>
      </c>
      <c r="BX8" s="51">
        <f t="shared" si="17"/>
        <v>0.31427382910734203</v>
      </c>
      <c r="BY8" s="51">
        <f t="shared" si="18"/>
        <v>0.51636753012683234</v>
      </c>
      <c r="BZ8" s="55"/>
      <c r="CA8" s="51"/>
      <c r="CC8" s="57"/>
    </row>
    <row r="9" spans="1:84" ht="14.25" outlineLevel="1" thickBot="1" x14ac:dyDescent="0.2">
      <c r="A9" s="46"/>
      <c r="B9" s="20" t="s">
        <v>17</v>
      </c>
      <c r="C9" s="21" t="s">
        <v>148</v>
      </c>
      <c r="D9" s="20">
        <v>238146391</v>
      </c>
      <c r="E9" s="21">
        <v>10</v>
      </c>
      <c r="F9" s="21">
        <v>32</v>
      </c>
      <c r="G9" s="21">
        <v>30</v>
      </c>
      <c r="I9" s="22">
        <f t="shared" si="0"/>
        <v>16.8055275</v>
      </c>
      <c r="J9" s="23">
        <f t="shared" si="1"/>
        <v>7.5272591470848707E-2</v>
      </c>
      <c r="K9" s="23">
        <f t="shared" si="2"/>
        <v>2.0658352114183414E-2</v>
      </c>
      <c r="L9" s="23">
        <f t="shared" si="3"/>
        <v>1.5548050022727408E-2</v>
      </c>
      <c r="M9" s="23">
        <f t="shared" si="4"/>
        <v>5.461423935666529E-2</v>
      </c>
      <c r="N9" s="20">
        <f t="shared" si="5"/>
        <v>4919712</v>
      </c>
      <c r="O9" s="23">
        <v>-12</v>
      </c>
      <c r="P9" s="24">
        <v>24863702</v>
      </c>
      <c r="Q9" s="24">
        <v>776990.6875</v>
      </c>
      <c r="R9" s="24">
        <v>10657.0625</v>
      </c>
      <c r="S9" s="25">
        <v>17925896</v>
      </c>
      <c r="T9" s="25">
        <v>3702712</v>
      </c>
      <c r="U9" s="25">
        <v>1217000</v>
      </c>
      <c r="V9" s="25">
        <v>13006184</v>
      </c>
      <c r="W9" s="26">
        <v>71.945081250000001</v>
      </c>
      <c r="X9" s="26">
        <v>75.324081250000006</v>
      </c>
      <c r="Y9" s="26">
        <v>42.094303124999897</v>
      </c>
      <c r="Z9" s="26">
        <v>49.4176312499999</v>
      </c>
      <c r="AA9" s="26">
        <v>49.554403125</v>
      </c>
      <c r="AB9" s="27">
        <v>570.01099999999997</v>
      </c>
      <c r="AC9" s="27">
        <v>493.15699999999998</v>
      </c>
      <c r="AD9" s="27">
        <v>1681.13</v>
      </c>
      <c r="AE9" s="27">
        <v>9.859</v>
      </c>
      <c r="AG9" s="22">
        <f t="shared" si="6"/>
        <v>16.808520000000001</v>
      </c>
      <c r="AH9" s="23">
        <f t="shared" si="7"/>
        <v>7.5285994991206903E-2</v>
      </c>
      <c r="AI9" s="23">
        <f t="shared" si="8"/>
        <v>2.0667758093382151E-2</v>
      </c>
      <c r="AJ9" s="23">
        <f t="shared" si="9"/>
        <v>1.5557456001926142E-2</v>
      </c>
      <c r="AK9" s="23">
        <f t="shared" si="10"/>
        <v>5.4618236897824753E-2</v>
      </c>
      <c r="AL9" s="20">
        <f t="shared" si="11"/>
        <v>4921952</v>
      </c>
      <c r="AM9" s="23">
        <v>-12</v>
      </c>
      <c r="AN9" s="24"/>
      <c r="AO9" s="24"/>
      <c r="AP9" s="24"/>
      <c r="AQ9" s="25">
        <v>17929088</v>
      </c>
      <c r="AR9" s="25">
        <v>3704952</v>
      </c>
      <c r="AS9" s="25">
        <v>1217000</v>
      </c>
      <c r="AT9" s="25">
        <v>13007136</v>
      </c>
      <c r="AU9" s="26">
        <v>71.948187499999904</v>
      </c>
      <c r="AV9" s="26">
        <v>75.318665624999994</v>
      </c>
      <c r="AW9" s="26">
        <v>42.094665624999898</v>
      </c>
      <c r="AX9" s="26">
        <v>49.423634374999899</v>
      </c>
      <c r="AY9" s="26">
        <v>49.558981250000002</v>
      </c>
      <c r="AZ9" s="27">
        <v>433.327</v>
      </c>
      <c r="BA9" s="27">
        <v>299.64600000000002</v>
      </c>
      <c r="BB9" s="27">
        <v>1354.3</v>
      </c>
      <c r="BC9" s="27">
        <v>9.7650000000000006</v>
      </c>
      <c r="BE9" s="28">
        <f t="shared" si="12"/>
        <v>1.0004553112052088</v>
      </c>
      <c r="BF9" s="29" t="e">
        <f t="shared" si="13"/>
        <v>#DIV/0!</v>
      </c>
      <c r="BG9" s="29">
        <f t="shared" si="14"/>
        <v>7.607551099714227E-5</v>
      </c>
      <c r="BH9" s="29"/>
      <c r="BJ9" s="28"/>
      <c r="BK9" s="28"/>
      <c r="BL9" s="28"/>
      <c r="BM9" s="28"/>
      <c r="BN9" s="28"/>
      <c r="BP9" s="28"/>
      <c r="BQ9" s="28"/>
      <c r="BR9" s="28"/>
      <c r="BS9" s="28"/>
      <c r="BT9" s="28"/>
      <c r="BV9" s="51">
        <f t="shared" si="15"/>
        <v>0.23979186366578886</v>
      </c>
      <c r="BW9" s="51">
        <f t="shared" si="16"/>
        <v>0.39239228075440474</v>
      </c>
      <c r="BX9" s="51">
        <f t="shared" si="17"/>
        <v>0.19441090219078841</v>
      </c>
      <c r="BY9" s="51">
        <f t="shared" si="18"/>
        <v>0.31609207221009683</v>
      </c>
      <c r="BZ9" s="55">
        <f>AVERAGE(BV5:BV9)</f>
        <v>0.53230368724864685</v>
      </c>
      <c r="CA9" s="51">
        <f>AVERAGE(BW5:BW9)</f>
        <v>0.59873506225201389</v>
      </c>
      <c r="CB9" s="51">
        <f>AVERAGE(BX5:BX9)</f>
        <v>0.33831207896254223</v>
      </c>
      <c r="CC9" s="58">
        <f>AVERAGE(BY5:BY9)</f>
        <v>0.56551937475033032</v>
      </c>
      <c r="CD9" s="51">
        <f>(SUM(AB5:AB9)-SUM(AZ5:AZ9))/SUM(AB5:AB9)</f>
        <v>0.51580601076471133</v>
      </c>
      <c r="CE9" s="51">
        <f>(SUM(AC5:AC9)-SUM(BA5:BA9))/SUM(AC5:AC9)</f>
        <v>0.59033369683751369</v>
      </c>
      <c r="CF9" s="51">
        <f>(SUM(AB5:AC9)-SUM(AZ5:BA9))/SUM(AB5:AC9)</f>
        <v>0.55053952812554496</v>
      </c>
    </row>
    <row r="10" spans="1:84" x14ac:dyDescent="0.15">
      <c r="A10" s="11"/>
      <c r="B10" s="11" t="s">
        <v>20</v>
      </c>
      <c r="C10" s="12" t="s">
        <v>144</v>
      </c>
      <c r="D10" s="11">
        <v>218121242</v>
      </c>
      <c r="E10" s="12">
        <v>10</v>
      </c>
      <c r="F10" s="12">
        <v>32</v>
      </c>
      <c r="G10" s="12">
        <v>30</v>
      </c>
      <c r="I10" s="13">
        <f t="shared" si="0"/>
        <v>3.1803675</v>
      </c>
      <c r="J10" s="14">
        <f t="shared" si="1"/>
        <v>1.555278142052758E-2</v>
      </c>
      <c r="K10" s="14">
        <f t="shared" si="2"/>
        <v>8.0389419385389349E-3</v>
      </c>
      <c r="L10" s="14">
        <f t="shared" si="3"/>
        <v>4.2751636266586089E-3</v>
      </c>
      <c r="M10" s="14">
        <f t="shared" si="4"/>
        <v>7.5138394819886456E-3</v>
      </c>
      <c r="N10" s="11">
        <f t="shared" si="5"/>
        <v>1753464</v>
      </c>
      <c r="O10" s="14">
        <v>-12</v>
      </c>
      <c r="P10" s="15">
        <v>20646708</v>
      </c>
      <c r="Q10" s="15">
        <v>645209.625</v>
      </c>
      <c r="R10" s="15">
        <v>18054.21875</v>
      </c>
      <c r="S10" s="16">
        <v>3392392</v>
      </c>
      <c r="T10" s="16">
        <v>932504</v>
      </c>
      <c r="U10" s="16">
        <v>820960</v>
      </c>
      <c r="V10" s="16">
        <v>1638928</v>
      </c>
      <c r="W10" s="17">
        <v>65.886574999999993</v>
      </c>
      <c r="X10" s="17">
        <v>67.829274999999996</v>
      </c>
      <c r="Y10" s="17">
        <v>32.394371874999898</v>
      </c>
      <c r="Z10" s="17">
        <v>39.164603124999999</v>
      </c>
      <c r="AA10" s="17">
        <v>32.094328124999997</v>
      </c>
      <c r="AB10" s="18">
        <v>466.02199999999999</v>
      </c>
      <c r="AC10" s="18">
        <v>427.16</v>
      </c>
      <c r="AD10" s="18">
        <v>1481.38</v>
      </c>
      <c r="AE10" s="18">
        <v>10.484</v>
      </c>
      <c r="AG10" s="13">
        <f t="shared" si="6"/>
        <v>3.1768049999999999</v>
      </c>
      <c r="AH10" s="14">
        <f t="shared" si="7"/>
        <v>1.5535359916940139E-2</v>
      </c>
      <c r="AI10" s="14">
        <f t="shared" si="8"/>
        <v>8.0336971490378734E-3</v>
      </c>
      <c r="AJ10" s="14">
        <f t="shared" si="9"/>
        <v>4.2699188371575474E-3</v>
      </c>
      <c r="AK10" s="14">
        <f t="shared" si="10"/>
        <v>7.5016627679022662E-3</v>
      </c>
      <c r="AL10" s="11">
        <f t="shared" si="11"/>
        <v>1752320</v>
      </c>
      <c r="AM10" s="14">
        <v>-12</v>
      </c>
      <c r="AN10" s="15"/>
      <c r="AO10" s="15"/>
      <c r="AP10" s="15"/>
      <c r="AQ10" s="16">
        <v>3388592</v>
      </c>
      <c r="AR10" s="16">
        <v>931360</v>
      </c>
      <c r="AS10" s="16">
        <v>820960</v>
      </c>
      <c r="AT10" s="16">
        <v>1636272</v>
      </c>
      <c r="AU10" s="17">
        <v>65.892512499999995</v>
      </c>
      <c r="AV10" s="17">
        <v>67.781315625000005</v>
      </c>
      <c r="AW10" s="17">
        <v>32.389884374999902</v>
      </c>
      <c r="AX10" s="17">
        <v>39.177149999999997</v>
      </c>
      <c r="AY10" s="17">
        <v>32.071415624999901</v>
      </c>
      <c r="AZ10" s="18">
        <v>142.523</v>
      </c>
      <c r="BA10" s="18">
        <v>116.264</v>
      </c>
      <c r="BB10" s="18">
        <v>845.64</v>
      </c>
      <c r="BC10" s="18">
        <v>10.311999999999999</v>
      </c>
      <c r="BE10" s="43">
        <f t="shared" si="12"/>
        <v>0.9993475771387379</v>
      </c>
      <c r="BF10" s="19" t="e">
        <f t="shared" si="13"/>
        <v>#DIV/0!</v>
      </c>
      <c r="BG10" s="19">
        <f t="shared" si="14"/>
        <v>2.4203237051967363E-4</v>
      </c>
      <c r="BH10" s="19">
        <f t="array" ref="BH10">AVERAGE(AL10:AL14/AQ10:AQ14) - AVERAGE(N10:N14/S10:S14)</f>
        <v>2.7503288606478549E-4</v>
      </c>
      <c r="BJ10" s="43">
        <f>IF( OR(ISBLANK(N10:N14),ISBLANK(AL10:AL14), ISBLANK(W10:W14),ISBLANK(AU10:AU14)), "·", bdRateExtend( N10:N14,W10:W14, AL10:AL14,AU10:AU14))</f>
        <v>4.50861081318088E-5</v>
      </c>
      <c r="BK10" s="43">
        <f>IF( OR(ISBLANK(N10:N14),ISBLANK(AL10:AL14), ISBLANK(X10:X14),ISBLANK(AV10:AV14)), "·", bdRateExtend( N10:N14,X10:X14, AL10:AL14,AV10:AV14))</f>
        <v>5.1789214601294375E-4</v>
      </c>
      <c r="BL10" s="43">
        <f>IF( OR(ISBLANK(V10:V14),ISBLANK(AT10:AT14), ISBLANK(Y10:Y14),ISBLANK(AW10:AW14)), "·", bdRateExtend( V10:V14,Y10:Y14, AT10:AT14,AW10:AW14))</f>
        <v>-1.1748173217845936E-3</v>
      </c>
      <c r="BM10" s="43">
        <f>IF( OR(ISBLANK(V10:V14),ISBLANK(AT10:AT14), ISBLANK(Z10:Z14),ISBLANK(AX10:AX14)), "·", bdRateExtend( V10:V14,Z10:Z14, AT10:AT14,AX10:AX14))</f>
        <v>-2.9273093945935136E-3</v>
      </c>
      <c r="BN10" s="43">
        <f>IF( OR(ISBLANK(V10:V14),ISBLANK(AT10:AT14), ISBLANK(AA10:AA14),ISBLANK(AY10:AY14)), "·", bdRateExtend( V10:V14,AA10:AA14, AT10:AT14,AY10:AY14))</f>
        <v>3.7489058842921086E-3</v>
      </c>
      <c r="BP10" s="43">
        <f>IF( OR(ISBLANK(S10:S14),ISBLANK(AQ10:AQ14), ISBLANK(W10:W14),ISBLANK(AU10:AU14)), "·", bdRateExtend( S10:S14,W10:W14, AQ10:AQ14,AU10:AU14))</f>
        <v>-6.1334850325400758E-4</v>
      </c>
      <c r="BQ10" s="43">
        <f>IF( OR(ISBLANK(S10:S14),ISBLANK(AQ10:AQ14), ISBLANK(X10:X14),ISBLANK(AV10:AV14)), "·", bdRateExtend( S10:S14,X10:X14, AQ10:AQ14,AV10:AV14))</f>
        <v>2.2022214439121335E-4</v>
      </c>
      <c r="BR10" s="43">
        <f>IF( OR(ISBLANK(S10:S14),ISBLANK(AQ10:AQ14), ISBLANK(Y10:Y14),ISBLANK(AW10:AW14)), "·", bdRateExtend( S10:S14,Y10:Y14, AQ10:AQ14,AW10:AW14))</f>
        <v>-7.8737321234434443E-4</v>
      </c>
      <c r="BS10" s="43">
        <f>IF( OR(ISBLANK(S10:S14),ISBLANK(AQ10:AQ14), ISBLANK(Z10:Z14),ISBLANK(AX10:AX14)), "·", bdRateExtend( S10:S14,Z10:Z14, AQ10:AQ14,AX10:AX14))</f>
        <v>-2.0893639233381389E-3</v>
      </c>
      <c r="BT10" s="43">
        <f>IF( OR(ISBLANK(S10:S14),ISBLANK(AQ10:AQ14), ISBLANK(AA10:AA14),ISBLANK(AY10:AY14)), "·", bdRateExtend( S10:S14,AA10:AA14, AQ10:AQ14,AY10:AY14))</f>
        <v>3.1211174670309205E-3</v>
      </c>
      <c r="BV10" s="51">
        <f t="shared" si="15"/>
        <v>0.6941710906352061</v>
      </c>
      <c r="BW10" s="51">
        <f t="shared" si="16"/>
        <v>0.7278209570184474</v>
      </c>
      <c r="BX10" s="51">
        <f t="shared" si="17"/>
        <v>0.42915389704194745</v>
      </c>
      <c r="BY10" s="51">
        <f t="shared" si="18"/>
        <v>0.7109960238268267</v>
      </c>
      <c r="BZ10" s="55"/>
      <c r="CA10" s="51"/>
      <c r="CC10" s="57"/>
    </row>
    <row r="11" spans="1:84" outlineLevel="1" x14ac:dyDescent="0.15">
      <c r="A11" s="46"/>
      <c r="B11" s="46" t="s">
        <v>20</v>
      </c>
      <c r="C11" s="3" t="s">
        <v>145</v>
      </c>
      <c r="D11" s="46">
        <v>218121242</v>
      </c>
      <c r="E11" s="3">
        <v>10</v>
      </c>
      <c r="F11" s="3">
        <v>32</v>
      </c>
      <c r="G11" s="3">
        <v>30</v>
      </c>
      <c r="I11" s="4">
        <f t="shared" si="0"/>
        <v>4.5974775000000001</v>
      </c>
      <c r="J11" s="5">
        <f t="shared" si="1"/>
        <v>2.2482798809663848E-2</v>
      </c>
      <c r="K11" s="5">
        <f t="shared" si="2"/>
        <v>9.7882442829662596E-3</v>
      </c>
      <c r="L11" s="5">
        <f t="shared" si="3"/>
        <v>6.0244659710859336E-3</v>
      </c>
      <c r="M11" s="5">
        <f t="shared" si="4"/>
        <v>1.2694554526697589E-2</v>
      </c>
      <c r="N11" s="46">
        <f t="shared" si="5"/>
        <v>2135024</v>
      </c>
      <c r="O11" s="5">
        <v>-12</v>
      </c>
      <c r="P11" s="6">
        <v>22133832</v>
      </c>
      <c r="Q11" s="6">
        <v>691682.25</v>
      </c>
      <c r="R11" s="6">
        <v>23047.09375</v>
      </c>
      <c r="S11" s="7">
        <v>4903976</v>
      </c>
      <c r="T11" s="7">
        <v>1314064</v>
      </c>
      <c r="U11" s="7">
        <v>820960</v>
      </c>
      <c r="V11" s="7">
        <v>2768952</v>
      </c>
      <c r="W11" s="8">
        <v>67.609459374999901</v>
      </c>
      <c r="X11" s="8">
        <v>69.693121874999903</v>
      </c>
      <c r="Y11" s="8">
        <v>34.251906249999998</v>
      </c>
      <c r="Z11" s="8">
        <v>40.012206249999899</v>
      </c>
      <c r="AA11" s="8">
        <v>33.863571874999998</v>
      </c>
      <c r="AB11" s="9">
        <v>490.67200000000003</v>
      </c>
      <c r="AC11" s="9">
        <v>439.33600000000001</v>
      </c>
      <c r="AD11" s="9">
        <v>1520.53</v>
      </c>
      <c r="AE11" s="9">
        <v>10.484</v>
      </c>
      <c r="AG11" s="4">
        <f t="shared" si="6"/>
        <v>4.5959925000000004</v>
      </c>
      <c r="AH11" s="5">
        <f t="shared" si="7"/>
        <v>2.2475536793431609E-2</v>
      </c>
      <c r="AI11" s="5">
        <f t="shared" si="8"/>
        <v>9.7960931287930219E-3</v>
      </c>
      <c r="AJ11" s="5">
        <f t="shared" si="9"/>
        <v>6.0323148169126968E-3</v>
      </c>
      <c r="AK11" s="5">
        <f t="shared" si="10"/>
        <v>1.2679443664638586E-2</v>
      </c>
      <c r="AL11" s="46">
        <f t="shared" si="11"/>
        <v>2136736</v>
      </c>
      <c r="AM11" s="5">
        <v>-12</v>
      </c>
      <c r="AN11" s="6"/>
      <c r="AO11" s="6"/>
      <c r="AP11" s="6"/>
      <c r="AQ11" s="7">
        <v>4902392</v>
      </c>
      <c r="AR11" s="7">
        <v>1315776</v>
      </c>
      <c r="AS11" s="7">
        <v>820960</v>
      </c>
      <c r="AT11" s="7">
        <v>2765656</v>
      </c>
      <c r="AU11" s="8">
        <v>67.606971874999999</v>
      </c>
      <c r="AV11" s="8">
        <v>69.689831249999997</v>
      </c>
      <c r="AW11" s="8">
        <v>34.247559375000002</v>
      </c>
      <c r="AX11" s="8">
        <v>40.0170156249999</v>
      </c>
      <c r="AY11" s="8">
        <v>33.841731249999903</v>
      </c>
      <c r="AZ11" s="9">
        <v>178.90100000000001</v>
      </c>
      <c r="BA11" s="9">
        <v>132.15100000000001</v>
      </c>
      <c r="BB11" s="9">
        <v>900.42100000000005</v>
      </c>
      <c r="BC11" s="9">
        <v>10.39</v>
      </c>
      <c r="BE11" s="44">
        <f t="shared" si="12"/>
        <v>1.000801864522366</v>
      </c>
      <c r="BF11" s="10" t="e">
        <f t="shared" si="13"/>
        <v>#DIV/0!</v>
      </c>
      <c r="BG11" s="10">
        <f t="shared" si="14"/>
        <v>4.8988730600979524E-4</v>
      </c>
      <c r="BH11" s="10"/>
      <c r="BJ11" s="44"/>
      <c r="BK11" s="44"/>
      <c r="BL11" s="44"/>
      <c r="BM11" s="44"/>
      <c r="BN11" s="44"/>
      <c r="BP11" s="44"/>
      <c r="BQ11" s="44"/>
      <c r="BR11" s="44"/>
      <c r="BS11" s="44"/>
      <c r="BT11" s="44"/>
      <c r="BV11" s="51">
        <f t="shared" si="15"/>
        <v>0.63539594678318712</v>
      </c>
      <c r="BW11" s="51">
        <f t="shared" si="16"/>
        <v>0.69920288799461006</v>
      </c>
      <c r="BX11" s="51">
        <f t="shared" si="17"/>
        <v>0.40782424549334767</v>
      </c>
      <c r="BY11" s="51">
        <f t="shared" si="18"/>
        <v>0.66729941738889864</v>
      </c>
      <c r="BZ11" s="55"/>
      <c r="CA11" s="51"/>
      <c r="CC11" s="57"/>
    </row>
    <row r="12" spans="1:84" outlineLevel="1" x14ac:dyDescent="0.15">
      <c r="A12" s="11"/>
      <c r="B12" s="11" t="s">
        <v>20</v>
      </c>
      <c r="C12" s="12" t="s">
        <v>146</v>
      </c>
      <c r="D12" s="11">
        <v>218121242</v>
      </c>
      <c r="E12" s="12">
        <v>10</v>
      </c>
      <c r="F12" s="12">
        <v>32</v>
      </c>
      <c r="G12" s="12">
        <v>30</v>
      </c>
      <c r="I12" s="13">
        <f t="shared" si="0"/>
        <v>7.1139150000000004</v>
      </c>
      <c r="J12" s="14">
        <f t="shared" si="1"/>
        <v>3.4788798791087025E-2</v>
      </c>
      <c r="K12" s="14">
        <f t="shared" si="2"/>
        <v>1.2487220295582215E-2</v>
      </c>
      <c r="L12" s="14">
        <f t="shared" si="3"/>
        <v>8.7234419837018892E-3</v>
      </c>
      <c r="M12" s="14">
        <f t="shared" si="4"/>
        <v>2.2301578495504806E-2</v>
      </c>
      <c r="N12" s="11">
        <f t="shared" si="5"/>
        <v>2723728</v>
      </c>
      <c r="O12" s="14">
        <v>-12</v>
      </c>
      <c r="P12" s="15">
        <v>22504730</v>
      </c>
      <c r="Q12" s="15">
        <v>703272.8125</v>
      </c>
      <c r="R12" s="15">
        <v>24737.1875</v>
      </c>
      <c r="S12" s="16">
        <v>7588176</v>
      </c>
      <c r="T12" s="16">
        <v>1902768</v>
      </c>
      <c r="U12" s="16">
        <v>820960</v>
      </c>
      <c r="V12" s="16">
        <v>4864448</v>
      </c>
      <c r="W12" s="17">
        <v>68.953246874999905</v>
      </c>
      <c r="X12" s="17">
        <v>71.331493749999893</v>
      </c>
      <c r="Y12" s="17">
        <v>36.335381249999998</v>
      </c>
      <c r="Z12" s="17">
        <v>40.939156249999897</v>
      </c>
      <c r="AA12" s="17">
        <v>35.640265624999898</v>
      </c>
      <c r="AB12" s="18">
        <v>517.66099999999994</v>
      </c>
      <c r="AC12" s="18">
        <v>451.67700000000002</v>
      </c>
      <c r="AD12" s="18">
        <v>1558.5</v>
      </c>
      <c r="AE12" s="18">
        <v>10.39</v>
      </c>
      <c r="AG12" s="13">
        <f t="shared" si="6"/>
        <v>7.1087325000000003</v>
      </c>
      <c r="AH12" s="14">
        <f t="shared" si="7"/>
        <v>3.4763455087973502E-2</v>
      </c>
      <c r="AI12" s="14">
        <f t="shared" si="8"/>
        <v>1.2490337827803125E-2</v>
      </c>
      <c r="AJ12" s="14">
        <f t="shared" si="9"/>
        <v>8.7265595159228011E-3</v>
      </c>
      <c r="AK12" s="14">
        <f t="shared" si="10"/>
        <v>2.2273117260170377E-2</v>
      </c>
      <c r="AL12" s="11">
        <f t="shared" si="11"/>
        <v>2724408</v>
      </c>
      <c r="AM12" s="14">
        <v>-12</v>
      </c>
      <c r="AN12" s="15"/>
      <c r="AO12" s="15"/>
      <c r="AP12" s="15"/>
      <c r="AQ12" s="16">
        <v>7582648</v>
      </c>
      <c r="AR12" s="16">
        <v>1903448</v>
      </c>
      <c r="AS12" s="16">
        <v>820960</v>
      </c>
      <c r="AT12" s="16">
        <v>4858240</v>
      </c>
      <c r="AU12" s="17">
        <v>68.948965625</v>
      </c>
      <c r="AV12" s="17">
        <v>71.327671874999993</v>
      </c>
      <c r="AW12" s="17">
        <v>36.338265624999998</v>
      </c>
      <c r="AX12" s="17">
        <v>40.939340625</v>
      </c>
      <c r="AY12" s="17">
        <v>35.617221874999998</v>
      </c>
      <c r="AZ12" s="18">
        <v>230.70599999999999</v>
      </c>
      <c r="BA12" s="18">
        <v>169.089</v>
      </c>
      <c r="BB12" s="18">
        <v>991.35900000000004</v>
      </c>
      <c r="BC12" s="18">
        <v>10.295999999999999</v>
      </c>
      <c r="BE12" s="43">
        <f t="shared" si="12"/>
        <v>1.0002496578219264</v>
      </c>
      <c r="BF12" s="19" t="e">
        <f t="shared" si="13"/>
        <v>#DIV/0!</v>
      </c>
      <c r="BG12" s="19">
        <f t="shared" si="14"/>
        <v>3.5136021026954678E-4</v>
      </c>
      <c r="BH12" s="19"/>
      <c r="BJ12" s="43"/>
      <c r="BK12" s="43"/>
      <c r="BL12" s="43"/>
      <c r="BM12" s="43"/>
      <c r="BN12" s="43"/>
      <c r="BP12" s="43"/>
      <c r="BQ12" s="43"/>
      <c r="BR12" s="43"/>
      <c r="BS12" s="43"/>
      <c r="BT12" s="43"/>
      <c r="BV12" s="51">
        <f t="shared" si="15"/>
        <v>0.55432995725001488</v>
      </c>
      <c r="BW12" s="51">
        <f t="shared" si="16"/>
        <v>0.62564177498522178</v>
      </c>
      <c r="BX12" s="51">
        <f t="shared" si="17"/>
        <v>0.3639018286814244</v>
      </c>
      <c r="BY12" s="51">
        <f t="shared" si="18"/>
        <v>0.58998586611761827</v>
      </c>
      <c r="BZ12" s="55"/>
      <c r="CA12" s="51"/>
      <c r="CC12" s="57"/>
    </row>
    <row r="13" spans="1:84" outlineLevel="1" x14ac:dyDescent="0.15">
      <c r="A13" s="46"/>
      <c r="B13" s="46" t="s">
        <v>20</v>
      </c>
      <c r="C13" s="3" t="s">
        <v>147</v>
      </c>
      <c r="D13" s="46">
        <v>218121242</v>
      </c>
      <c r="E13" s="3">
        <v>10</v>
      </c>
      <c r="F13" s="3">
        <v>32</v>
      </c>
      <c r="G13" s="3">
        <v>30</v>
      </c>
      <c r="I13" s="4">
        <f t="shared" si="0"/>
        <v>12.0106275</v>
      </c>
      <c r="J13" s="5">
        <f t="shared" si="1"/>
        <v>5.8734930548396569E-2</v>
      </c>
      <c r="K13" s="5">
        <f t="shared" si="2"/>
        <v>1.7163445273248534E-2</v>
      </c>
      <c r="L13" s="5">
        <f t="shared" si="3"/>
        <v>1.339966696136821E-2</v>
      </c>
      <c r="M13" s="5">
        <f t="shared" si="4"/>
        <v>4.1571485275148028E-2</v>
      </c>
      <c r="N13" s="46">
        <f t="shared" si="5"/>
        <v>3743712</v>
      </c>
      <c r="O13" s="5">
        <v>-12</v>
      </c>
      <c r="P13" s="6">
        <v>23275134</v>
      </c>
      <c r="Q13" s="6">
        <v>727347.9375</v>
      </c>
      <c r="R13" s="6">
        <v>27993.34375</v>
      </c>
      <c r="S13" s="7">
        <v>12811336</v>
      </c>
      <c r="T13" s="7">
        <v>2922752</v>
      </c>
      <c r="U13" s="7">
        <v>820960</v>
      </c>
      <c r="V13" s="7">
        <v>9067624</v>
      </c>
      <c r="W13" s="8">
        <v>70.078087499999896</v>
      </c>
      <c r="X13" s="8">
        <v>72.601274999999902</v>
      </c>
      <c r="Y13" s="8">
        <v>38.662809375000002</v>
      </c>
      <c r="Z13" s="8">
        <v>42.1082156249999</v>
      </c>
      <c r="AA13" s="8">
        <v>37.696206249999904</v>
      </c>
      <c r="AB13" s="9">
        <v>557.47799999999995</v>
      </c>
      <c r="AC13" s="9">
        <v>480.03199999999998</v>
      </c>
      <c r="AD13" s="9">
        <v>1627</v>
      </c>
      <c r="AE13" s="9">
        <v>10.25</v>
      </c>
      <c r="AG13" s="4">
        <f t="shared" si="6"/>
        <v>11.99241</v>
      </c>
      <c r="AH13" s="5">
        <f t="shared" si="7"/>
        <v>5.8645842480577845E-2</v>
      </c>
      <c r="AI13" s="5">
        <f t="shared" si="8"/>
        <v>1.7142062669898057E-2</v>
      </c>
      <c r="AJ13" s="5">
        <f t="shared" si="9"/>
        <v>1.3378284358017731E-2</v>
      </c>
      <c r="AK13" s="5">
        <f t="shared" si="10"/>
        <v>4.1503779810679785E-2</v>
      </c>
      <c r="AL13" s="46">
        <f t="shared" si="11"/>
        <v>3739048</v>
      </c>
      <c r="AM13" s="5">
        <v>-12</v>
      </c>
      <c r="AN13" s="6"/>
      <c r="AO13" s="6"/>
      <c r="AP13" s="6"/>
      <c r="AQ13" s="7">
        <v>12791904</v>
      </c>
      <c r="AR13" s="7">
        <v>2918088</v>
      </c>
      <c r="AS13" s="7">
        <v>820960</v>
      </c>
      <c r="AT13" s="7">
        <v>9052856</v>
      </c>
      <c r="AU13" s="8">
        <v>70.079706250000001</v>
      </c>
      <c r="AV13" s="8">
        <v>72.605296874999993</v>
      </c>
      <c r="AW13" s="8">
        <v>38.662956250000001</v>
      </c>
      <c r="AX13" s="8">
        <v>42.109678125000002</v>
      </c>
      <c r="AY13" s="8">
        <v>37.687871874999999</v>
      </c>
      <c r="AZ13" s="9">
        <v>306.80799999999999</v>
      </c>
      <c r="BA13" s="9">
        <v>216.352</v>
      </c>
      <c r="BB13" s="9">
        <v>1116.8900000000001</v>
      </c>
      <c r="BC13" s="9">
        <v>10.436999999999999</v>
      </c>
      <c r="BE13" s="44">
        <f t="shared" si="12"/>
        <v>0.99875417767178687</v>
      </c>
      <c r="BF13" s="10" t="e">
        <f t="shared" si="13"/>
        <v>#DIV/0!</v>
      </c>
      <c r="BG13" s="10">
        <f t="shared" si="14"/>
        <v>7.9299676767730087E-5</v>
      </c>
      <c r="BH13" s="10"/>
      <c r="BJ13" s="44"/>
      <c r="BK13" s="44"/>
      <c r="BL13" s="44"/>
      <c r="BM13" s="44"/>
      <c r="BN13" s="44"/>
      <c r="BP13" s="44"/>
      <c r="BQ13" s="44"/>
      <c r="BR13" s="44"/>
      <c r="BS13" s="44"/>
      <c r="BT13" s="44"/>
      <c r="BV13" s="51">
        <f t="shared" si="15"/>
        <v>0.44965003103261469</v>
      </c>
      <c r="BW13" s="51">
        <f t="shared" si="16"/>
        <v>0.54929671355242971</v>
      </c>
      <c r="BX13" s="51">
        <f t="shared" si="17"/>
        <v>0.31352796558082352</v>
      </c>
      <c r="BY13" s="51">
        <f t="shared" si="18"/>
        <v>0.4994733722925222</v>
      </c>
      <c r="BZ13" s="55"/>
      <c r="CA13" s="51"/>
      <c r="CC13" s="57"/>
    </row>
    <row r="14" spans="1:84" ht="14.25" outlineLevel="1" thickBot="1" x14ac:dyDescent="0.2">
      <c r="A14" s="11"/>
      <c r="B14" s="30" t="s">
        <v>20</v>
      </c>
      <c r="C14" s="31" t="s">
        <v>148</v>
      </c>
      <c r="D14" s="30">
        <v>218121242</v>
      </c>
      <c r="E14" s="31">
        <v>10</v>
      </c>
      <c r="F14" s="31">
        <v>32</v>
      </c>
      <c r="G14" s="31">
        <v>30</v>
      </c>
      <c r="I14" s="32">
        <f t="shared" si="0"/>
        <v>21.562027499999999</v>
      </c>
      <c r="J14" s="33">
        <f t="shared" si="1"/>
        <v>0.10544363212455943</v>
      </c>
      <c r="K14" s="33">
        <f t="shared" si="2"/>
        <v>2.8264354005466372E-2</v>
      </c>
      <c r="L14" s="33">
        <f t="shared" si="3"/>
        <v>2.1175159088815385E-2</v>
      </c>
      <c r="M14" s="33">
        <f t="shared" si="4"/>
        <v>7.7179278119093045E-2</v>
      </c>
      <c r="N14" s="30">
        <f t="shared" si="5"/>
        <v>6165056</v>
      </c>
      <c r="O14" s="33">
        <v>-12</v>
      </c>
      <c r="P14" s="34">
        <v>22108568</v>
      </c>
      <c r="Q14" s="34">
        <v>690892.75</v>
      </c>
      <c r="R14" s="34">
        <v>13255.34375</v>
      </c>
      <c r="S14" s="35">
        <v>22999496</v>
      </c>
      <c r="T14" s="35">
        <v>4618752</v>
      </c>
      <c r="U14" s="35">
        <v>1546304</v>
      </c>
      <c r="V14" s="35">
        <v>16834440</v>
      </c>
      <c r="W14" s="36">
        <v>70.921371874999906</v>
      </c>
      <c r="X14" s="36">
        <v>74.713256250000001</v>
      </c>
      <c r="Y14" s="36">
        <v>40.916131249999999</v>
      </c>
      <c r="Z14" s="36">
        <v>43.428543749999903</v>
      </c>
      <c r="AA14" s="36">
        <v>39.494587500000002</v>
      </c>
      <c r="AB14" s="37">
        <v>598.178</v>
      </c>
      <c r="AC14" s="37">
        <v>538.14099999999996</v>
      </c>
      <c r="AD14" s="37">
        <v>1743.52</v>
      </c>
      <c r="AE14" s="37">
        <v>10.375</v>
      </c>
      <c r="AG14" s="32">
        <f t="shared" si="6"/>
        <v>21.5484075</v>
      </c>
      <c r="AH14" s="33">
        <f t="shared" si="7"/>
        <v>0.10537702696558092</v>
      </c>
      <c r="AI14" s="33">
        <f t="shared" si="8"/>
        <v>2.8268901934823936E-2</v>
      </c>
      <c r="AJ14" s="33">
        <f t="shared" si="9"/>
        <v>2.1179707018172948E-2</v>
      </c>
      <c r="AK14" s="33">
        <f t="shared" si="10"/>
        <v>7.710812503075698E-2</v>
      </c>
      <c r="AL14" s="30">
        <f t="shared" si="11"/>
        <v>6166048</v>
      </c>
      <c r="AM14" s="33">
        <v>-12</v>
      </c>
      <c r="AN14" s="34"/>
      <c r="AO14" s="34"/>
      <c r="AP14" s="34"/>
      <c r="AQ14" s="35">
        <v>22984968</v>
      </c>
      <c r="AR14" s="35">
        <v>4619744</v>
      </c>
      <c r="AS14" s="35">
        <v>1546304</v>
      </c>
      <c r="AT14" s="35">
        <v>16818920</v>
      </c>
      <c r="AU14" s="36">
        <v>70.923553124999998</v>
      </c>
      <c r="AV14" s="36">
        <v>74.700800000000001</v>
      </c>
      <c r="AW14" s="36">
        <v>40.917434374999999</v>
      </c>
      <c r="AX14" s="36">
        <v>43.428940624999903</v>
      </c>
      <c r="AY14" s="36">
        <v>39.490812499999997</v>
      </c>
      <c r="AZ14" s="37">
        <v>454.03899999999999</v>
      </c>
      <c r="BA14" s="37">
        <v>333.07400000000001</v>
      </c>
      <c r="BB14" s="37">
        <v>1392.52</v>
      </c>
      <c r="BC14" s="37">
        <v>10</v>
      </c>
      <c r="BE14" s="38">
        <f t="shared" si="12"/>
        <v>1.0001609068920054</v>
      </c>
      <c r="BF14" s="39" t="e">
        <f t="shared" si="13"/>
        <v>#DIV/0!</v>
      </c>
      <c r="BG14" s="39">
        <f t="shared" si="14"/>
        <v>2.1258486675745925E-4</v>
      </c>
      <c r="BH14" s="39"/>
      <c r="BJ14" s="38"/>
      <c r="BK14" s="38"/>
      <c r="BL14" s="38"/>
      <c r="BM14" s="38"/>
      <c r="BN14" s="38"/>
      <c r="BP14" s="38"/>
      <c r="BQ14" s="38"/>
      <c r="BR14" s="38"/>
      <c r="BS14" s="38"/>
      <c r="BT14" s="38"/>
      <c r="BV14" s="51">
        <f t="shared" si="15"/>
        <v>0.24096339216754881</v>
      </c>
      <c r="BW14" s="51">
        <f t="shared" si="16"/>
        <v>0.3810655571681027</v>
      </c>
      <c r="BX14" s="51">
        <f t="shared" si="17"/>
        <v>0.20131687620445995</v>
      </c>
      <c r="BY14" s="51">
        <f t="shared" si="18"/>
        <v>0.31101447466782572</v>
      </c>
      <c r="BZ14" s="55">
        <f t="shared" ref="BZ14" si="19">AVERAGE(BV10:BV14)</f>
        <v>0.51490208357371436</v>
      </c>
      <c r="CA14" s="51">
        <f t="shared" ref="CA14" si="20">AVERAGE(BW10:BW14)</f>
        <v>0.59660557814376225</v>
      </c>
      <c r="CB14" s="51">
        <f>AVERAGE(BX10:BX14)</f>
        <v>0.34314496260040056</v>
      </c>
      <c r="CC14" s="58">
        <f t="shared" ref="CC14" si="21">AVERAGE(BY10:BY14)</f>
        <v>0.55575383085873831</v>
      </c>
      <c r="CD14" s="51">
        <f>(SUM(AB10:AB14)-SUM(AZ10:AZ14))/SUM(AB10:AB14)</f>
        <v>0.5007712895497396</v>
      </c>
      <c r="CE14" s="51">
        <f>(SUM(AC10:AC14)-SUM(BA10:BA14))/SUM(AC10:AC14)</f>
        <v>0.58613578639465214</v>
      </c>
      <c r="CF14" s="51">
        <f>(SUM(AB10:AC14)-SUM(AZ10:BA14))/SUM(AB10:AC14)</f>
        <v>0.54092969957657089</v>
      </c>
    </row>
    <row r="15" spans="1:84" x14ac:dyDescent="0.15">
      <c r="A15" s="46"/>
      <c r="B15" s="46" t="s">
        <v>23</v>
      </c>
      <c r="C15" s="3" t="s">
        <v>144</v>
      </c>
      <c r="D15" s="46">
        <v>322589704</v>
      </c>
      <c r="E15" s="3">
        <v>10</v>
      </c>
      <c r="F15" s="3">
        <v>32</v>
      </c>
      <c r="G15" s="3">
        <v>30</v>
      </c>
      <c r="I15" s="4">
        <f t="shared" si="0"/>
        <v>4.4048550000000004</v>
      </c>
      <c r="J15" s="5">
        <f t="shared" si="1"/>
        <v>1.4564978180456744E-2</v>
      </c>
      <c r="K15" s="5">
        <f t="shared" si="2"/>
        <v>8.2289049126006829E-3</v>
      </c>
      <c r="L15" s="5">
        <f t="shared" si="3"/>
        <v>4.3908902932624288E-3</v>
      </c>
      <c r="M15" s="5">
        <f t="shared" si="4"/>
        <v>6.3360732678560631E-3</v>
      </c>
      <c r="N15" s="46">
        <f t="shared" si="5"/>
        <v>2654560</v>
      </c>
      <c r="O15" s="5">
        <v>-12</v>
      </c>
      <c r="P15" s="6">
        <v>30898742</v>
      </c>
      <c r="Q15" s="6">
        <v>965585.6875</v>
      </c>
      <c r="R15" s="6">
        <v>27935.75</v>
      </c>
      <c r="S15" s="7">
        <v>4698512</v>
      </c>
      <c r="T15" s="7">
        <v>1416456</v>
      </c>
      <c r="U15" s="7">
        <v>1238104</v>
      </c>
      <c r="V15" s="7">
        <v>2043952</v>
      </c>
      <c r="W15" s="8">
        <v>65.895415624999998</v>
      </c>
      <c r="X15" s="8">
        <v>67.664484375000001</v>
      </c>
      <c r="Y15" s="8">
        <v>29.421203125000002</v>
      </c>
      <c r="Z15" s="8">
        <v>43.104725000000002</v>
      </c>
      <c r="AA15" s="8">
        <v>43.299262499999998</v>
      </c>
      <c r="AB15" s="9">
        <v>475.726</v>
      </c>
      <c r="AC15" s="9">
        <v>417.60199999999998</v>
      </c>
      <c r="AD15" s="9">
        <v>1775.77</v>
      </c>
      <c r="AE15" s="9">
        <v>10.093</v>
      </c>
      <c r="AG15" s="4">
        <f t="shared" si="6"/>
        <v>4.4037224999999998</v>
      </c>
      <c r="AH15" s="5">
        <f t="shared" si="7"/>
        <v>1.4561233485616764E-2</v>
      </c>
      <c r="AI15" s="5">
        <f t="shared" si="8"/>
        <v>8.2260281933858627E-3</v>
      </c>
      <c r="AJ15" s="5">
        <f t="shared" si="9"/>
        <v>4.3880135740476086E-3</v>
      </c>
      <c r="AK15" s="5">
        <f t="shared" si="10"/>
        <v>6.3352052922309018E-3</v>
      </c>
      <c r="AL15" s="46">
        <f t="shared" si="11"/>
        <v>2653632</v>
      </c>
      <c r="AM15" s="5">
        <v>-12</v>
      </c>
      <c r="AN15" s="6"/>
      <c r="AO15" s="6"/>
      <c r="AP15" s="6"/>
      <c r="AQ15" s="7">
        <v>4697304</v>
      </c>
      <c r="AR15" s="7">
        <v>1415528</v>
      </c>
      <c r="AS15" s="7">
        <v>1238104</v>
      </c>
      <c r="AT15" s="7">
        <v>2043672</v>
      </c>
      <c r="AU15" s="8">
        <v>65.896031249999993</v>
      </c>
      <c r="AV15" s="8">
        <v>67.635262499999996</v>
      </c>
      <c r="AW15" s="8">
        <v>29.419446874999998</v>
      </c>
      <c r="AX15" s="8">
        <v>43.128625</v>
      </c>
      <c r="AY15" s="8">
        <v>43.291403125000002</v>
      </c>
      <c r="AZ15" s="9">
        <v>176.17400000000001</v>
      </c>
      <c r="BA15" s="9">
        <v>186.495</v>
      </c>
      <c r="BB15" s="9">
        <v>1232.78</v>
      </c>
      <c r="BC15" s="9">
        <v>9.9060000000000006</v>
      </c>
      <c r="BE15" s="44">
        <f t="shared" si="12"/>
        <v>0.99965041287445</v>
      </c>
      <c r="BF15" s="10" t="e">
        <f t="shared" si="13"/>
        <v>#DIV/0!</v>
      </c>
      <c r="BG15" s="10">
        <f t="shared" si="14"/>
        <v>-5.226519832512988E-5</v>
      </c>
      <c r="BH15" s="10">
        <f t="array" ref="BH15">AVERAGE(AL15:AL19/AQ15:AQ19) - AVERAGE(N15:N19/S15:S19)</f>
        <v>-3.901297701258688E-5</v>
      </c>
      <c r="BJ15" s="44">
        <f>IF( OR(ISBLANK(N15:N19),ISBLANK(AL15:AL19), ISBLANK(W15:W19),ISBLANK(AU15:AU19)), "·", bdRateExtend( N15:N19,W15:W19, AL15:AL19,AU15:AU19))</f>
        <v>2.5084361384464238E-4</v>
      </c>
      <c r="BK15" s="44">
        <f>IF( OR(ISBLANK(N15:N19),ISBLANK(AL15:AL19), ISBLANK(X15:X19),ISBLANK(AV15:AV19)), "·", bdRateExtend( N15:N19,X15:X19, AL15:AL19,AV15:AV19))</f>
        <v>8.2576040093029768E-4</v>
      </c>
      <c r="BL15" s="44">
        <f>IF( OR(ISBLANK(V15:V19),ISBLANK(AT15:AT19), ISBLANK(Y15:Y19),ISBLANK(AW15:AW19)), "·", bdRateExtend( V15:V19,Y15:Y19, AT15:AT19,AW15:AW19))</f>
        <v>-7.9330129940657912E-6</v>
      </c>
      <c r="BM15" s="44">
        <f>IF( OR(ISBLANK(V15:V19),ISBLANK(AT15:AT19), ISBLANK(Z15:Z19),ISBLANK(AX15:AX19)), "·", bdRateExtend( V15:V19,Z15:Z19, AT15:AT19,AX15:AX19))</f>
        <v>-1.0635683134789575E-2</v>
      </c>
      <c r="BN15" s="44">
        <f>IF( OR(ISBLANK(V15:V19),ISBLANK(AT15:AT19), ISBLANK(AA15:AA19),ISBLANK(AY15:AY19)), "·", bdRateExtend( V15:V19,AA15:AA19, AT15:AT19,AY15:AY19))</f>
        <v>-1.0227880678155277E-2</v>
      </c>
      <c r="BP15" s="44">
        <f>IF( OR(ISBLANK(S15:S19),ISBLANK(AQ15:AQ19), ISBLANK(W15:W19),ISBLANK(AU15:AU19)), "·", bdRateExtend( S15:S19,W15:W19, AQ15:AQ19,AU15:AU19))</f>
        <v>1.105449885563603E-3</v>
      </c>
      <c r="BQ15" s="44">
        <f>IF( OR(ISBLANK(S15:S19),ISBLANK(AQ15:AQ19), ISBLANK(X15:X19),ISBLANK(AV15:AV19)), "·", bdRateExtend( S15:S19,X15:X19, AQ15:AQ19,AV15:AV19))</f>
        <v>2.0654775084345545E-3</v>
      </c>
      <c r="BR15" s="44">
        <f>IF( OR(ISBLANK(S15:S19),ISBLANK(AQ15:AQ19), ISBLANK(Y15:Y19),ISBLANK(AW15:AW19)), "·", bdRateExtend( S15:S19,Y15:Y19, AQ15:AQ19,AW15:AW19))</f>
        <v>-1.5008265971327983E-4</v>
      </c>
      <c r="BS15" s="44">
        <f>IF( OR(ISBLANK(S15:S19),ISBLANK(AQ15:AQ19), ISBLANK(Z15:Z19),ISBLANK(AX15:AX19)), "·", bdRateExtend( S15:S19,Z15:Z19, AQ15:AQ19,AX15:AX19))</f>
        <v>-7.9300450919060905E-3</v>
      </c>
      <c r="BT15" s="44">
        <f>IF( OR(ISBLANK(S15:S19),ISBLANK(AQ15:AQ19), ISBLANK(AA15:AA19),ISBLANK(AY15:AY19)), "·", bdRateExtend( S15:S19,AA15:AA19, AQ15:AQ19,AY15:AY19))</f>
        <v>-7.7595075811802694E-3</v>
      </c>
      <c r="BV15" s="51">
        <f t="shared" si="15"/>
        <v>0.62967338341818613</v>
      </c>
      <c r="BW15" s="51">
        <f t="shared" si="16"/>
        <v>0.55341449514130681</v>
      </c>
      <c r="BX15" s="51">
        <f t="shared" si="17"/>
        <v>0.30577721213895942</v>
      </c>
      <c r="BY15" s="51">
        <f t="shared" si="18"/>
        <v>0.59154393927974647</v>
      </c>
      <c r="BZ15" s="55"/>
      <c r="CA15" s="51"/>
      <c r="CC15" s="57"/>
    </row>
    <row r="16" spans="1:84" outlineLevel="1" x14ac:dyDescent="0.15">
      <c r="A16" s="11"/>
      <c r="B16" s="11" t="s">
        <v>23</v>
      </c>
      <c r="C16" s="12" t="s">
        <v>145</v>
      </c>
      <c r="D16" s="11">
        <v>322589704</v>
      </c>
      <c r="E16" s="12">
        <v>10</v>
      </c>
      <c r="F16" s="12">
        <v>32</v>
      </c>
      <c r="G16" s="12">
        <v>30</v>
      </c>
      <c r="I16" s="13">
        <f t="shared" si="0"/>
        <v>7.0023150000000003</v>
      </c>
      <c r="J16" s="14">
        <f t="shared" si="1"/>
        <v>2.3153671389338576E-2</v>
      </c>
      <c r="K16" s="14">
        <f t="shared" si="2"/>
        <v>1.0043048367098536E-2</v>
      </c>
      <c r="L16" s="14">
        <f t="shared" si="3"/>
        <v>6.2050337477602821E-3</v>
      </c>
      <c r="M16" s="14">
        <f t="shared" si="4"/>
        <v>1.311062302224004E-2</v>
      </c>
      <c r="N16" s="11">
        <f t="shared" si="5"/>
        <v>3239784</v>
      </c>
      <c r="O16" s="14">
        <v>-12</v>
      </c>
      <c r="P16" s="15">
        <v>33174723</v>
      </c>
      <c r="Q16" s="15">
        <v>1036710.09375</v>
      </c>
      <c r="R16" s="15">
        <v>34658.125</v>
      </c>
      <c r="S16" s="16">
        <v>7469136</v>
      </c>
      <c r="T16" s="16">
        <v>2001680</v>
      </c>
      <c r="U16" s="16">
        <v>1238104</v>
      </c>
      <c r="V16" s="16">
        <v>4229352</v>
      </c>
      <c r="W16" s="17">
        <v>67.721312499999996</v>
      </c>
      <c r="X16" s="17">
        <v>69.756862499999997</v>
      </c>
      <c r="Y16" s="17">
        <v>31.811240625</v>
      </c>
      <c r="Z16" s="17">
        <v>43.961996874999997</v>
      </c>
      <c r="AA16" s="17">
        <v>44.231640624999997</v>
      </c>
      <c r="AB16" s="18">
        <v>520.83500000000004</v>
      </c>
      <c r="AC16" s="18">
        <v>431.221</v>
      </c>
      <c r="AD16" s="18">
        <v>1836.77</v>
      </c>
      <c r="AE16" s="18">
        <v>9.843</v>
      </c>
      <c r="AG16" s="13">
        <f t="shared" si="6"/>
        <v>6.9973725</v>
      </c>
      <c r="AH16" s="14">
        <f t="shared" si="7"/>
        <v>2.3137328648281968E-2</v>
      </c>
      <c r="AI16" s="14">
        <f t="shared" si="8"/>
        <v>1.0031516690935679E-2</v>
      </c>
      <c r="AJ16" s="14">
        <f t="shared" si="9"/>
        <v>6.1935020715974242E-3</v>
      </c>
      <c r="AK16" s="14">
        <f t="shared" si="10"/>
        <v>1.3105811957346289E-2</v>
      </c>
      <c r="AL16" s="11">
        <f t="shared" si="11"/>
        <v>3236064</v>
      </c>
      <c r="AM16" s="14">
        <v>-12</v>
      </c>
      <c r="AN16" s="15"/>
      <c r="AO16" s="15"/>
      <c r="AP16" s="15"/>
      <c r="AQ16" s="16">
        <v>7463864</v>
      </c>
      <c r="AR16" s="16">
        <v>1997960</v>
      </c>
      <c r="AS16" s="16">
        <v>1238104</v>
      </c>
      <c r="AT16" s="16">
        <v>4227800</v>
      </c>
      <c r="AU16" s="17">
        <v>67.707478124999994</v>
      </c>
      <c r="AV16" s="17">
        <v>69.748481249999998</v>
      </c>
      <c r="AW16" s="17">
        <v>31.807768749999902</v>
      </c>
      <c r="AX16" s="17">
        <v>43.9886781249999</v>
      </c>
      <c r="AY16" s="17">
        <v>44.283078124999903</v>
      </c>
      <c r="AZ16" s="18">
        <v>229.03399999999999</v>
      </c>
      <c r="BA16" s="18">
        <v>212.49100000000001</v>
      </c>
      <c r="BB16" s="18">
        <v>1312.77</v>
      </c>
      <c r="BC16" s="18">
        <v>9.9529999999999994</v>
      </c>
      <c r="BE16" s="43">
        <f t="shared" si="12"/>
        <v>0.99885177530353875</v>
      </c>
      <c r="BF16" s="19" t="e">
        <f t="shared" si="13"/>
        <v>#DIV/0!</v>
      </c>
      <c r="BG16" s="19">
        <f t="shared" si="14"/>
        <v>-1.9202350792218992E-4</v>
      </c>
      <c r="BH16" s="19"/>
      <c r="BJ16" s="43"/>
      <c r="BK16" s="43"/>
      <c r="BL16" s="43"/>
      <c r="BM16" s="43"/>
      <c r="BN16" s="43"/>
      <c r="BP16" s="43"/>
      <c r="BQ16" s="43"/>
      <c r="BR16" s="43"/>
      <c r="BS16" s="43"/>
      <c r="BT16" s="43"/>
      <c r="BV16" s="51">
        <f t="shared" si="15"/>
        <v>0.56025612718039308</v>
      </c>
      <c r="BW16" s="51">
        <f t="shared" si="16"/>
        <v>0.50723410965606963</v>
      </c>
      <c r="BX16" s="51">
        <f t="shared" si="17"/>
        <v>0.28528340510787958</v>
      </c>
      <c r="BY16" s="51">
        <f t="shared" si="18"/>
        <v>0.53374511841823136</v>
      </c>
      <c r="BZ16" s="55"/>
      <c r="CA16" s="51"/>
      <c r="CC16" s="57"/>
    </row>
    <row r="17" spans="1:84" outlineLevel="1" x14ac:dyDescent="0.15">
      <c r="A17" s="46"/>
      <c r="B17" s="46" t="s">
        <v>23</v>
      </c>
      <c r="C17" s="3" t="s">
        <v>146</v>
      </c>
      <c r="D17" s="46">
        <v>322589704</v>
      </c>
      <c r="E17" s="3">
        <v>10</v>
      </c>
      <c r="F17" s="3">
        <v>32</v>
      </c>
      <c r="G17" s="3">
        <v>30</v>
      </c>
      <c r="I17" s="4">
        <f t="shared" si="0"/>
        <v>11.682667500000001</v>
      </c>
      <c r="J17" s="5">
        <f t="shared" si="1"/>
        <v>3.8629602388053901E-2</v>
      </c>
      <c r="K17" s="5">
        <f t="shared" si="2"/>
        <v>1.2780990679107353E-2</v>
      </c>
      <c r="L17" s="5">
        <f t="shared" si="3"/>
        <v>8.9429760597690994E-3</v>
      </c>
      <c r="M17" s="5">
        <f t="shared" si="4"/>
        <v>2.5848611708946544E-2</v>
      </c>
      <c r="N17" s="46">
        <f t="shared" si="5"/>
        <v>4123016</v>
      </c>
      <c r="O17" s="5">
        <v>-12</v>
      </c>
      <c r="P17" s="6">
        <v>33536779</v>
      </c>
      <c r="Q17" s="6">
        <v>1048024.34375</v>
      </c>
      <c r="R17" s="6">
        <v>36443.15625</v>
      </c>
      <c r="S17" s="7">
        <v>12461512</v>
      </c>
      <c r="T17" s="7">
        <v>2884912</v>
      </c>
      <c r="U17" s="7">
        <v>1238104</v>
      </c>
      <c r="V17" s="7">
        <v>8338496</v>
      </c>
      <c r="W17" s="8">
        <v>69.122003125000006</v>
      </c>
      <c r="X17" s="8">
        <v>71.601190624999902</v>
      </c>
      <c r="Y17" s="8">
        <v>34.352246874999999</v>
      </c>
      <c r="Z17" s="8">
        <v>44.816187499999998</v>
      </c>
      <c r="AA17" s="8">
        <v>45.212228124999903</v>
      </c>
      <c r="AB17" s="9">
        <v>560.51199999999994</v>
      </c>
      <c r="AC17" s="9">
        <v>465.22800000000001</v>
      </c>
      <c r="AD17" s="9">
        <v>1911.09</v>
      </c>
      <c r="AE17" s="9">
        <v>9.75</v>
      </c>
      <c r="AG17" s="4">
        <f t="shared" si="6"/>
        <v>11.6835375</v>
      </c>
      <c r="AH17" s="5">
        <f t="shared" si="7"/>
        <v>3.8632479107268719E-2</v>
      </c>
      <c r="AI17" s="5">
        <f t="shared" si="8"/>
        <v>1.2785776944697529E-2</v>
      </c>
      <c r="AJ17" s="5">
        <f t="shared" si="9"/>
        <v>8.947762325359274E-3</v>
      </c>
      <c r="AK17" s="5">
        <f t="shared" si="10"/>
        <v>2.5846702162571188E-2</v>
      </c>
      <c r="AL17" s="46">
        <f t="shared" si="11"/>
        <v>4124560</v>
      </c>
      <c r="AM17" s="5">
        <v>-12</v>
      </c>
      <c r="AN17" s="6"/>
      <c r="AO17" s="6"/>
      <c r="AP17" s="6"/>
      <c r="AQ17" s="7">
        <v>12462440</v>
      </c>
      <c r="AR17" s="7">
        <v>2886456</v>
      </c>
      <c r="AS17" s="7">
        <v>1238104</v>
      </c>
      <c r="AT17" s="7">
        <v>8337880</v>
      </c>
      <c r="AU17" s="8">
        <v>69.126471874999993</v>
      </c>
      <c r="AV17" s="8">
        <v>71.590665625</v>
      </c>
      <c r="AW17" s="8">
        <v>34.350571875</v>
      </c>
      <c r="AX17" s="8">
        <v>44.842918749999903</v>
      </c>
      <c r="AY17" s="8">
        <v>45.211149999999897</v>
      </c>
      <c r="AZ17" s="9">
        <v>293.75599999999997</v>
      </c>
      <c r="BA17" s="9">
        <v>272.01299999999998</v>
      </c>
      <c r="BB17" s="9">
        <v>1438.58</v>
      </c>
      <c r="BC17" s="9">
        <v>9.8279999999999994</v>
      </c>
      <c r="BE17" s="44">
        <f t="shared" si="12"/>
        <v>1.000374483145348</v>
      </c>
      <c r="BF17" s="10" t="e">
        <f t="shared" si="13"/>
        <v>#DIV/0!</v>
      </c>
      <c r="BG17" s="10">
        <f t="shared" si="14"/>
        <v>9.9255194777159161E-5</v>
      </c>
      <c r="BH17" s="10"/>
      <c r="BJ17" s="44"/>
      <c r="BK17" s="44"/>
      <c r="BL17" s="44"/>
      <c r="BM17" s="44"/>
      <c r="BN17" s="44"/>
      <c r="BP17" s="44"/>
      <c r="BQ17" s="44"/>
      <c r="BR17" s="44"/>
      <c r="BS17" s="44"/>
      <c r="BT17" s="44"/>
      <c r="BV17" s="51">
        <f t="shared" si="15"/>
        <v>0.47591487782598768</v>
      </c>
      <c r="BW17" s="51">
        <f t="shared" si="16"/>
        <v>0.4153124919394362</v>
      </c>
      <c r="BX17" s="51">
        <f t="shared" si="17"/>
        <v>0.24724633586068684</v>
      </c>
      <c r="BY17" s="51">
        <f t="shared" si="18"/>
        <v>0.44561368488271191</v>
      </c>
      <c r="BZ17" s="55"/>
      <c r="CA17" s="51"/>
      <c r="CC17" s="57"/>
    </row>
    <row r="18" spans="1:84" outlineLevel="1" x14ac:dyDescent="0.15">
      <c r="A18" s="11"/>
      <c r="B18" s="11" t="s">
        <v>23</v>
      </c>
      <c r="C18" s="12" t="s">
        <v>147</v>
      </c>
      <c r="D18" s="11">
        <v>322589704</v>
      </c>
      <c r="E18" s="12">
        <v>10</v>
      </c>
      <c r="F18" s="12">
        <v>32</v>
      </c>
      <c r="G18" s="12">
        <v>30</v>
      </c>
      <c r="I18" s="13">
        <f t="shared" si="0"/>
        <v>20.167642499999999</v>
      </c>
      <c r="J18" s="14">
        <f t="shared" si="1"/>
        <v>6.6685798502732124E-2</v>
      </c>
      <c r="K18" s="14">
        <f t="shared" si="2"/>
        <v>1.7280179531086338E-2</v>
      </c>
      <c r="L18" s="14">
        <f t="shared" si="3"/>
        <v>1.3442164911748083E-2</v>
      </c>
      <c r="M18" s="14">
        <f t="shared" si="4"/>
        <v>4.940561897164579E-2</v>
      </c>
      <c r="N18" s="11">
        <f t="shared" si="5"/>
        <v>5574408</v>
      </c>
      <c r="O18" s="14">
        <v>-12</v>
      </c>
      <c r="P18" s="15">
        <v>34802045</v>
      </c>
      <c r="Q18" s="15">
        <v>1087563.90625</v>
      </c>
      <c r="R18" s="15">
        <v>40924.21875</v>
      </c>
      <c r="S18" s="16">
        <v>21512152</v>
      </c>
      <c r="T18" s="16">
        <v>4336304</v>
      </c>
      <c r="U18" s="16">
        <v>1238104</v>
      </c>
      <c r="V18" s="16">
        <v>15937744</v>
      </c>
      <c r="W18" s="17">
        <v>70.369831250000004</v>
      </c>
      <c r="X18" s="17">
        <v>72.947381249999907</v>
      </c>
      <c r="Y18" s="17">
        <v>37.033359375000003</v>
      </c>
      <c r="Z18" s="17">
        <v>46.129693750000001</v>
      </c>
      <c r="AA18" s="17">
        <v>46.645259375000002</v>
      </c>
      <c r="AB18" s="18">
        <v>607.78800000000001</v>
      </c>
      <c r="AC18" s="18">
        <v>537.05799999999999</v>
      </c>
      <c r="AD18" s="18">
        <v>2033.27</v>
      </c>
      <c r="AE18" s="18">
        <v>9.8119999999999994</v>
      </c>
      <c r="AG18" s="13">
        <f t="shared" si="6"/>
        <v>20.165587500000001</v>
      </c>
      <c r="AH18" s="14">
        <f t="shared" si="7"/>
        <v>6.6679003493552297E-2</v>
      </c>
      <c r="AI18" s="14">
        <f t="shared" si="8"/>
        <v>1.728585857160525E-2</v>
      </c>
      <c r="AJ18" s="14">
        <f t="shared" si="9"/>
        <v>1.3447843952266995E-2</v>
      </c>
      <c r="AK18" s="14">
        <f t="shared" si="10"/>
        <v>4.9393144921947046E-2</v>
      </c>
      <c r="AL18" s="11">
        <f t="shared" si="11"/>
        <v>5576240</v>
      </c>
      <c r="AM18" s="14">
        <v>-12</v>
      </c>
      <c r="AN18" s="15"/>
      <c r="AO18" s="15"/>
      <c r="AP18" s="15"/>
      <c r="AQ18" s="16">
        <v>21509960</v>
      </c>
      <c r="AR18" s="16">
        <v>4338136</v>
      </c>
      <c r="AS18" s="16">
        <v>1238104</v>
      </c>
      <c r="AT18" s="16">
        <v>15933720</v>
      </c>
      <c r="AU18" s="17">
        <v>70.366562500000001</v>
      </c>
      <c r="AV18" s="17">
        <v>72.943359374999901</v>
      </c>
      <c r="AW18" s="17">
        <v>37.037046874999902</v>
      </c>
      <c r="AX18" s="17">
        <v>46.136924999999898</v>
      </c>
      <c r="AY18" s="17">
        <v>46.6594781249999</v>
      </c>
      <c r="AZ18" s="18">
        <v>383.46199999999999</v>
      </c>
      <c r="BA18" s="18">
        <v>357.07100000000003</v>
      </c>
      <c r="BB18" s="18">
        <v>1614.25</v>
      </c>
      <c r="BC18" s="18">
        <v>9.8119999999999994</v>
      </c>
      <c r="BE18" s="43">
        <f t="shared" si="12"/>
        <v>1.000328644763713</v>
      </c>
      <c r="BF18" s="19" t="e">
        <f t="shared" si="13"/>
        <v>#DIV/0!</v>
      </c>
      <c r="BG18" s="19">
        <f t="shared" si="14"/>
        <v>1.1157665086647395E-4</v>
      </c>
      <c r="BH18" s="19"/>
      <c r="BJ18" s="43"/>
      <c r="BK18" s="43"/>
      <c r="BL18" s="43"/>
      <c r="BM18" s="43"/>
      <c r="BN18" s="43"/>
      <c r="BP18" s="43"/>
      <c r="BQ18" s="43"/>
      <c r="BR18" s="43"/>
      <c r="BS18" s="43"/>
      <c r="BT18" s="43"/>
      <c r="BV18" s="51">
        <f t="shared" si="15"/>
        <v>0.36908593127866957</v>
      </c>
      <c r="BW18" s="51">
        <f t="shared" si="16"/>
        <v>0.33513512507029031</v>
      </c>
      <c r="BX18" s="51">
        <f t="shared" si="17"/>
        <v>0.20608182877827341</v>
      </c>
      <c r="BY18" s="51">
        <f t="shared" si="18"/>
        <v>0.35211052817447996</v>
      </c>
      <c r="BZ18" s="55"/>
      <c r="CA18" s="51"/>
      <c r="CC18" s="57"/>
    </row>
    <row r="19" spans="1:84" ht="14.25" outlineLevel="1" thickBot="1" x14ac:dyDescent="0.2">
      <c r="A19" s="46"/>
      <c r="B19" s="20" t="s">
        <v>23</v>
      </c>
      <c r="C19" s="21" t="s">
        <v>148</v>
      </c>
      <c r="D19" s="20">
        <v>322589704</v>
      </c>
      <c r="E19" s="21">
        <v>10</v>
      </c>
      <c r="F19" s="21">
        <v>32</v>
      </c>
      <c r="G19" s="21">
        <v>30</v>
      </c>
      <c r="I19" s="22">
        <f t="shared" si="0"/>
        <v>35.688764999999997</v>
      </c>
      <c r="J19" s="23">
        <f t="shared" si="1"/>
        <v>0.11800753566518044</v>
      </c>
      <c r="K19" s="23">
        <f t="shared" si="2"/>
        <v>2.7760638014659018E-2</v>
      </c>
      <c r="L19" s="23">
        <f t="shared" si="3"/>
        <v>2.064958651005179E-2</v>
      </c>
      <c r="M19" s="23">
        <f t="shared" si="4"/>
        <v>9.0246897650521421E-2</v>
      </c>
      <c r="N19" s="20">
        <f t="shared" si="5"/>
        <v>8955296</v>
      </c>
      <c r="O19" s="23">
        <v>-12</v>
      </c>
      <c r="P19" s="24">
        <v>33040002</v>
      </c>
      <c r="Q19" s="24">
        <v>1032500.0625</v>
      </c>
      <c r="R19" s="24">
        <v>17720.5</v>
      </c>
      <c r="S19" s="25">
        <v>38068016</v>
      </c>
      <c r="T19" s="25">
        <v>6661344</v>
      </c>
      <c r="U19" s="25">
        <v>2293952</v>
      </c>
      <c r="V19" s="25">
        <v>29112720</v>
      </c>
      <c r="W19" s="26">
        <v>71.147937499999898</v>
      </c>
      <c r="X19" s="26">
        <v>75.002496874999906</v>
      </c>
      <c r="Y19" s="26">
        <v>39.495606249999902</v>
      </c>
      <c r="Z19" s="26">
        <v>47.874012499999999</v>
      </c>
      <c r="AA19" s="26">
        <v>48.468343750000003</v>
      </c>
      <c r="AB19" s="27">
        <v>675.197</v>
      </c>
      <c r="AC19" s="27">
        <v>651.59500000000003</v>
      </c>
      <c r="AD19" s="27">
        <v>2228.9499999999998</v>
      </c>
      <c r="AE19" s="27">
        <v>9.89</v>
      </c>
      <c r="AG19" s="22">
        <f t="shared" si="6"/>
        <v>35.686245</v>
      </c>
      <c r="AH19" s="23">
        <f t="shared" si="7"/>
        <v>0.11799920309917888</v>
      </c>
      <c r="AI19" s="23">
        <f t="shared" si="8"/>
        <v>2.7739608205226536E-2</v>
      </c>
      <c r="AJ19" s="23">
        <f t="shared" si="9"/>
        <v>2.0628556700619312E-2</v>
      </c>
      <c r="AK19" s="23">
        <f t="shared" si="10"/>
        <v>9.0259594893952355E-2</v>
      </c>
      <c r="AL19" s="20">
        <f t="shared" si="11"/>
        <v>8948512</v>
      </c>
      <c r="AM19" s="23">
        <v>-12</v>
      </c>
      <c r="AN19" s="24"/>
      <c r="AO19" s="24"/>
      <c r="AP19" s="24"/>
      <c r="AQ19" s="25">
        <v>38065328</v>
      </c>
      <c r="AR19" s="25">
        <v>6654560</v>
      </c>
      <c r="AS19" s="25">
        <v>2293952</v>
      </c>
      <c r="AT19" s="25">
        <v>29116816</v>
      </c>
      <c r="AU19" s="26">
        <v>71.151724999999999</v>
      </c>
      <c r="AV19" s="26">
        <v>75.000571875000006</v>
      </c>
      <c r="AW19" s="26">
        <v>39.494756249999902</v>
      </c>
      <c r="AX19" s="26">
        <v>47.8763874999999</v>
      </c>
      <c r="AY19" s="26">
        <v>48.478815624999903</v>
      </c>
      <c r="AZ19" s="27">
        <v>535.22299999999996</v>
      </c>
      <c r="BA19" s="27">
        <v>520.69600000000003</v>
      </c>
      <c r="BB19" s="27">
        <v>1943.89</v>
      </c>
      <c r="BC19" s="27">
        <v>9.8279999999999994</v>
      </c>
      <c r="BE19" s="28">
        <f t="shared" si="12"/>
        <v>0.99924245943405998</v>
      </c>
      <c r="BF19" s="29" t="e">
        <f t="shared" si="13"/>
        <v>#DIV/0!</v>
      </c>
      <c r="BG19" s="29">
        <f t="shared" si="14"/>
        <v>-1.6160802445941425E-4</v>
      </c>
      <c r="BH19" s="29"/>
      <c r="BJ19" s="28"/>
      <c r="BK19" s="28"/>
      <c r="BL19" s="28"/>
      <c r="BM19" s="28"/>
      <c r="BN19" s="28"/>
      <c r="BP19" s="28"/>
      <c r="BQ19" s="28"/>
      <c r="BR19" s="28"/>
      <c r="BS19" s="28"/>
      <c r="BT19" s="28"/>
      <c r="BV19" s="51">
        <f t="shared" si="15"/>
        <v>0.20730838555266098</v>
      </c>
      <c r="BW19" s="51">
        <f t="shared" si="16"/>
        <v>0.20089012346626356</v>
      </c>
      <c r="BX19" s="51">
        <f t="shared" si="17"/>
        <v>0.12788981358935811</v>
      </c>
      <c r="BY19" s="51">
        <f t="shared" si="18"/>
        <v>0.20409925450946226</v>
      </c>
      <c r="BZ19" s="55">
        <f t="shared" ref="BZ19" si="22">AVERAGE(BV15:BV19)</f>
        <v>0.44844774105117952</v>
      </c>
      <c r="CA19" s="51">
        <f t="shared" ref="CA19" si="23">AVERAGE(BW15:BW19)</f>
        <v>0.40239726905467332</v>
      </c>
      <c r="CB19" s="51">
        <f>AVERAGE(BX15:BX19)</f>
        <v>0.23445571909503146</v>
      </c>
      <c r="CC19" s="58">
        <f t="shared" ref="CC19" si="24">AVERAGE(BY15:BY19)</f>
        <v>0.42542250505292645</v>
      </c>
      <c r="CD19" s="51">
        <f>(SUM(AB15:AB19)-SUM(AZ15:AZ19))/SUM(AB15:AB19)</f>
        <v>0.43041691402077004</v>
      </c>
      <c r="CE19" s="51">
        <f>(SUM(AC15:AC19)-SUM(BA15:BA19))/SUM(AC15:AC19)</f>
        <v>0.3811629341704012</v>
      </c>
      <c r="CF19" s="51">
        <f>(SUM(AB15:AC19)-SUM(AZ15:BA19))/SUM(AB15:AC19)</f>
        <v>0.40734492758614371</v>
      </c>
    </row>
    <row r="20" spans="1:84" x14ac:dyDescent="0.15">
      <c r="A20" s="11"/>
      <c r="B20" s="11" t="s">
        <v>26</v>
      </c>
      <c r="C20" s="12" t="s">
        <v>144</v>
      </c>
      <c r="D20" s="11">
        <v>250602891</v>
      </c>
      <c r="E20" s="12">
        <v>10</v>
      </c>
      <c r="F20" s="12">
        <v>32</v>
      </c>
      <c r="G20" s="12">
        <v>50</v>
      </c>
      <c r="I20" s="13">
        <f t="shared" si="0"/>
        <v>5.0936000000000003</v>
      </c>
      <c r="J20" s="14">
        <f t="shared" si="1"/>
        <v>1.3008245782767127E-2</v>
      </c>
      <c r="K20" s="14">
        <f t="shared" si="2"/>
        <v>7.583088895810065E-3</v>
      </c>
      <c r="L20" s="14">
        <f t="shared" si="3"/>
        <v>3.7914646403660202E-3</v>
      </c>
      <c r="M20" s="14">
        <f t="shared" si="4"/>
        <v>5.425156886957062E-3</v>
      </c>
      <c r="N20" s="11">
        <f t="shared" si="5"/>
        <v>1900344</v>
      </c>
      <c r="O20" s="14">
        <v>-12</v>
      </c>
      <c r="P20" s="15">
        <v>30202618</v>
      </c>
      <c r="Q20" s="15">
        <v>943831.8125</v>
      </c>
      <c r="R20" s="15">
        <v>27795.1875</v>
      </c>
      <c r="S20" s="16">
        <v>3259904</v>
      </c>
      <c r="T20" s="16">
        <v>950152</v>
      </c>
      <c r="U20" s="16">
        <v>950192</v>
      </c>
      <c r="V20" s="16">
        <v>1359560</v>
      </c>
      <c r="W20" s="17">
        <v>67.119896874999995</v>
      </c>
      <c r="X20" s="17">
        <v>68.826574999999906</v>
      </c>
      <c r="Y20" s="17">
        <v>30.701740624999999</v>
      </c>
      <c r="Z20" s="17">
        <v>39.504118749999897</v>
      </c>
      <c r="AA20" s="17">
        <v>38.223546874999997</v>
      </c>
      <c r="AB20" s="18">
        <v>517.50800000000004</v>
      </c>
      <c r="AC20" s="18">
        <v>460.06200000000001</v>
      </c>
      <c r="AD20" s="18">
        <v>1816.06</v>
      </c>
      <c r="AE20" s="18">
        <v>10.875</v>
      </c>
      <c r="AG20" s="13">
        <f t="shared" si="6"/>
        <v>5.0884749999999999</v>
      </c>
      <c r="AH20" s="14">
        <f t="shared" si="7"/>
        <v>1.2995157346369161E-2</v>
      </c>
      <c r="AI20" s="14">
        <f t="shared" si="8"/>
        <v>7.5836954331065555E-3</v>
      </c>
      <c r="AJ20" s="14">
        <f t="shared" si="9"/>
        <v>3.7920711776625116E-3</v>
      </c>
      <c r="AK20" s="14">
        <f t="shared" si="10"/>
        <v>5.4114619132626047E-3</v>
      </c>
      <c r="AL20" s="11">
        <f t="shared" si="11"/>
        <v>1900496</v>
      </c>
      <c r="AM20" s="14">
        <v>-12</v>
      </c>
      <c r="AN20" s="15"/>
      <c r="AO20" s="15"/>
      <c r="AP20" s="15"/>
      <c r="AQ20" s="16">
        <v>3256624</v>
      </c>
      <c r="AR20" s="16">
        <v>950304</v>
      </c>
      <c r="AS20" s="16">
        <v>950192</v>
      </c>
      <c r="AT20" s="16">
        <v>1356128</v>
      </c>
      <c r="AU20" s="17">
        <v>67.085806250000005</v>
      </c>
      <c r="AV20" s="17">
        <v>68.784756250000001</v>
      </c>
      <c r="AW20" s="17">
        <v>30.658153124999998</v>
      </c>
      <c r="AX20" s="17">
        <v>39.5272874999999</v>
      </c>
      <c r="AY20" s="17">
        <v>38.197581249999999</v>
      </c>
      <c r="AZ20" s="18">
        <v>157.678</v>
      </c>
      <c r="BA20" s="18">
        <v>139.52199999999999</v>
      </c>
      <c r="BB20" s="18">
        <v>1138.23</v>
      </c>
      <c r="BC20" s="18">
        <v>10.781000000000001</v>
      </c>
      <c r="BE20" s="43">
        <f t="shared" si="12"/>
        <v>1.0000799855184113</v>
      </c>
      <c r="BF20" s="19" t="e">
        <f t="shared" si="13"/>
        <v>#DIV/0!</v>
      </c>
      <c r="BG20" s="19">
        <f t="shared" si="14"/>
        <v>6.3380324476358663E-4</v>
      </c>
      <c r="BH20" s="19">
        <f t="array" ref="BH20">AVERAGE(AL20:AL24/AQ20:AQ24) - AVERAGE(N20:N24/S20:S24)</f>
        <v>2.8811125418620742E-4</v>
      </c>
      <c r="BJ20" s="43">
        <f>IF( OR(ISBLANK(N20:N24),ISBLANK(AL20:AL24), ISBLANK(W20:W24),ISBLANK(AU20:AU24)), "·", bdRateExtend( N20:N24,W20:W24, AL20:AL24,AU20:AU24))</f>
        <v>9.5921281384181434E-4</v>
      </c>
      <c r="BK20" s="43">
        <f>IF( OR(ISBLANK(N20:N24),ISBLANK(AL20:AL24), ISBLANK(X20:X24),ISBLANK(AV20:AV24)), "·", bdRateExtend( N20:N24,X20:X24, AL20:AL24,AV20:AV24))</f>
        <v>1.4254890269898013E-3</v>
      </c>
      <c r="BL20" s="43">
        <f>IF( OR(ISBLANK(V20:V24),ISBLANK(AT20:AT24), ISBLANK(Y20:Y24),ISBLANK(AW20:AW24)), "·", bdRateExtend( V20:V24,Y20:Y24, AT20:AT24,AW20:AW24))</f>
        <v>6.6180926838366183E-3</v>
      </c>
      <c r="BM20" s="43">
        <f>IF( OR(ISBLANK(V20:V24),ISBLANK(AT20:AT24), ISBLANK(Z20:Z24),ISBLANK(AX20:AX24)), "·", bdRateExtend( V20:V24,Z20:Z24, AT20:AT24,AX20:AX24))</f>
        <v>2.8447420236610288E-3</v>
      </c>
      <c r="BN20" s="43">
        <f>IF( OR(ISBLANK(V20:V24),ISBLANK(AT20:AT24), ISBLANK(AA20:AA24),ISBLANK(AY20:AY24)), "·", bdRateExtend( V20:V24,AA20:AA24, AT20:AT24,AY20:AY24))</f>
        <v>3.2629564572030922E-3</v>
      </c>
      <c r="BP20" s="43">
        <f>IF( OR(ISBLANK(S20:S24),ISBLANK(AQ20:AQ24), ISBLANK(W20:W24),ISBLANK(AU20:AU24)), "·", bdRateExtend( S20:S24,W20:W24, AQ20:AQ24,AU20:AU24))</f>
        <v>1.3531545653007182E-3</v>
      </c>
      <c r="BQ20" s="43">
        <f>IF( OR(ISBLANK(S20:S24),ISBLANK(AQ20:AQ24), ISBLANK(X20:X24),ISBLANK(AV20:AV24)), "·", bdRateExtend( S20:S24,X20:X24, AQ20:AQ24,AV20:AV24))</f>
        <v>1.936453969826557E-3</v>
      </c>
      <c r="BR20" s="43">
        <f>IF( OR(ISBLANK(S20:S24),ISBLANK(AQ20:AQ24), ISBLANK(Y20:Y24),ISBLANK(AW20:AW24)), "·", bdRateExtend( S20:S24,Y20:Y24, AQ20:AQ24,AW20:AW24))</f>
        <v>4.5187578931751293E-3</v>
      </c>
      <c r="BS20" s="43">
        <f>IF( OR(ISBLANK(S20:S24),ISBLANK(AQ20:AQ24), ISBLANK(Z20:Z24),ISBLANK(AX20:AX24)), "·", bdRateExtend( S20:S24,Z20:Z24, AQ20:AQ24,AX20:AX24))</f>
        <v>2.7782114256287294E-3</v>
      </c>
      <c r="BT20" s="43">
        <f>IF( OR(ISBLANK(S20:S24),ISBLANK(AQ20:AQ24), ISBLANK(AA20:AA24),ISBLANK(AY20:AY24)), "·", bdRateExtend( S20:S24,AA20:AA24, AQ20:AQ24,AY20:AY24))</f>
        <v>2.0864872155827996E-3</v>
      </c>
      <c r="BV20" s="51">
        <f t="shared" si="15"/>
        <v>0.69531292269877953</v>
      </c>
      <c r="BW20" s="51">
        <f t="shared" si="16"/>
        <v>0.69673217957579636</v>
      </c>
      <c r="BX20" s="51">
        <f t="shared" si="17"/>
        <v>0.37324207349977423</v>
      </c>
      <c r="BY20" s="51">
        <f t="shared" si="18"/>
        <v>0.69602255113728795</v>
      </c>
      <c r="BZ20" s="55"/>
      <c r="CA20" s="51"/>
      <c r="CC20" s="57"/>
    </row>
    <row r="21" spans="1:84" outlineLevel="1" x14ac:dyDescent="0.15">
      <c r="A21" s="46"/>
      <c r="B21" s="46" t="s">
        <v>26</v>
      </c>
      <c r="C21" s="3" t="s">
        <v>145</v>
      </c>
      <c r="D21" s="46">
        <v>250602891</v>
      </c>
      <c r="E21" s="3">
        <v>10</v>
      </c>
      <c r="F21" s="3">
        <v>32</v>
      </c>
      <c r="G21" s="3">
        <v>50</v>
      </c>
      <c r="I21" s="4">
        <f t="shared" si="0"/>
        <v>7.5828249999999997</v>
      </c>
      <c r="J21" s="5">
        <f t="shared" si="1"/>
        <v>1.9365331264275001E-2</v>
      </c>
      <c r="K21" s="5">
        <f t="shared" si="2"/>
        <v>9.0187626766045567E-3</v>
      </c>
      <c r="L21" s="5">
        <f t="shared" si="3"/>
        <v>5.2271384211605128E-3</v>
      </c>
      <c r="M21" s="5">
        <f t="shared" si="4"/>
        <v>1.0346568587670442E-2</v>
      </c>
      <c r="N21" s="46">
        <f t="shared" si="5"/>
        <v>2260128</v>
      </c>
      <c r="O21" s="5">
        <v>-12</v>
      </c>
      <c r="P21" s="6">
        <v>31470210</v>
      </c>
      <c r="Q21" s="6">
        <v>983444.0625</v>
      </c>
      <c r="R21" s="6">
        <v>32994.5</v>
      </c>
      <c r="S21" s="7">
        <v>4853008</v>
      </c>
      <c r="T21" s="7">
        <v>1309936</v>
      </c>
      <c r="U21" s="7">
        <v>950192</v>
      </c>
      <c r="V21" s="7">
        <v>2592880</v>
      </c>
      <c r="W21" s="8">
        <v>68.687637499999994</v>
      </c>
      <c r="X21" s="8">
        <v>70.768968749999999</v>
      </c>
      <c r="Y21" s="8">
        <v>32.499071874999998</v>
      </c>
      <c r="Z21" s="8">
        <v>40.637934375</v>
      </c>
      <c r="AA21" s="8">
        <v>39.554534375000003</v>
      </c>
      <c r="AB21" s="9">
        <v>557.04</v>
      </c>
      <c r="AC21" s="9">
        <v>476.26299999999998</v>
      </c>
      <c r="AD21" s="9">
        <v>1871.19</v>
      </c>
      <c r="AE21" s="9">
        <v>11.061999999999999</v>
      </c>
      <c r="AG21" s="4">
        <f t="shared" si="6"/>
        <v>7.5862499999999997</v>
      </c>
      <c r="AH21" s="5">
        <f t="shared" si="7"/>
        <v>1.9374078170550715E-2</v>
      </c>
      <c r="AI21" s="5">
        <f t="shared" si="8"/>
        <v>9.023359590851647E-3</v>
      </c>
      <c r="AJ21" s="5">
        <f t="shared" si="9"/>
        <v>5.2317353354076031E-3</v>
      </c>
      <c r="AK21" s="5">
        <f t="shared" si="10"/>
        <v>1.0350718579699067E-2</v>
      </c>
      <c r="AL21" s="46">
        <f t="shared" si="11"/>
        <v>2261280</v>
      </c>
      <c r="AM21" s="5">
        <v>-12</v>
      </c>
      <c r="AN21" s="6"/>
      <c r="AO21" s="6"/>
      <c r="AP21" s="6"/>
      <c r="AQ21" s="7">
        <v>4855200</v>
      </c>
      <c r="AR21" s="7">
        <v>1311088</v>
      </c>
      <c r="AS21" s="7">
        <v>950192</v>
      </c>
      <c r="AT21" s="7">
        <v>2593920</v>
      </c>
      <c r="AU21" s="8">
        <v>68.677312499999999</v>
      </c>
      <c r="AV21" s="8">
        <v>70.753846874999994</v>
      </c>
      <c r="AW21" s="8">
        <v>32.456746875</v>
      </c>
      <c r="AX21" s="8">
        <v>40.628553124999897</v>
      </c>
      <c r="AY21" s="8">
        <v>39.536990625000001</v>
      </c>
      <c r="AZ21" s="9">
        <v>200.53299999999999</v>
      </c>
      <c r="BA21" s="9">
        <v>173.65</v>
      </c>
      <c r="BB21" s="9">
        <v>1213.1300000000001</v>
      </c>
      <c r="BC21" s="9">
        <v>10.827999999999999</v>
      </c>
      <c r="BE21" s="44">
        <f t="shared" si="12"/>
        <v>1.0005097056449901</v>
      </c>
      <c r="BF21" s="10" t="e">
        <f t="shared" si="13"/>
        <v>#DIV/0!</v>
      </c>
      <c r="BG21" s="10">
        <f t="shared" si="14"/>
        <v>2.7011963169287778E-5</v>
      </c>
      <c r="BH21" s="10"/>
      <c r="BJ21" s="44"/>
      <c r="BK21" s="44"/>
      <c r="BL21" s="44"/>
      <c r="BM21" s="44"/>
      <c r="BN21" s="44"/>
      <c r="BP21" s="44"/>
      <c r="BQ21" s="44"/>
      <c r="BR21" s="44"/>
      <c r="BS21" s="44"/>
      <c r="BT21" s="44"/>
      <c r="BV21" s="51">
        <f t="shared" si="15"/>
        <v>0.64000251328450375</v>
      </c>
      <c r="BW21" s="51">
        <f t="shared" si="16"/>
        <v>0.63539053002227752</v>
      </c>
      <c r="BX21" s="51">
        <f t="shared" si="17"/>
        <v>0.35167994698560806</v>
      </c>
      <c r="BY21" s="51">
        <f t="shared" si="18"/>
        <v>0.63769652165339064</v>
      </c>
      <c r="BZ21" s="55"/>
      <c r="CA21" s="51"/>
      <c r="CC21" s="57"/>
    </row>
    <row r="22" spans="1:84" outlineLevel="1" x14ac:dyDescent="0.15">
      <c r="A22" s="11"/>
      <c r="B22" s="11" t="s">
        <v>26</v>
      </c>
      <c r="C22" s="12" t="s">
        <v>146</v>
      </c>
      <c r="D22" s="11">
        <v>250602891</v>
      </c>
      <c r="E22" s="12">
        <v>10</v>
      </c>
      <c r="F22" s="12">
        <v>32</v>
      </c>
      <c r="G22" s="12">
        <v>50</v>
      </c>
      <c r="I22" s="13">
        <f t="shared" si="0"/>
        <v>12.3580875</v>
      </c>
      <c r="J22" s="14">
        <f t="shared" si="1"/>
        <v>3.1560593608634786E-2</v>
      </c>
      <c r="K22" s="14">
        <f t="shared" si="2"/>
        <v>1.1265089515667239E-2</v>
      </c>
      <c r="L22" s="14">
        <f t="shared" si="3"/>
        <v>7.4734652602231949E-3</v>
      </c>
      <c r="M22" s="14">
        <f t="shared" si="4"/>
        <v>2.0295504092967546E-2</v>
      </c>
      <c r="N22" s="11">
        <f t="shared" si="5"/>
        <v>2823064</v>
      </c>
      <c r="O22" s="14">
        <v>-12</v>
      </c>
      <c r="P22" s="15">
        <v>32774469</v>
      </c>
      <c r="Q22" s="15">
        <v>1024202.15625</v>
      </c>
      <c r="R22" s="15">
        <v>35190.1875</v>
      </c>
      <c r="S22" s="16">
        <v>7909176</v>
      </c>
      <c r="T22" s="16">
        <v>1872872</v>
      </c>
      <c r="U22" s="16">
        <v>950192</v>
      </c>
      <c r="V22" s="16">
        <v>5086112</v>
      </c>
      <c r="W22" s="17">
        <v>69.849543749999995</v>
      </c>
      <c r="X22" s="17">
        <v>72.244293749999898</v>
      </c>
      <c r="Y22" s="17">
        <v>34.215484375000003</v>
      </c>
      <c r="Z22" s="17">
        <v>41.679962499999903</v>
      </c>
      <c r="AA22" s="17">
        <v>40.578524999999999</v>
      </c>
      <c r="AB22" s="18">
        <v>586.04899999999998</v>
      </c>
      <c r="AC22" s="18">
        <v>501.37400000000002</v>
      </c>
      <c r="AD22" s="18">
        <v>1928.45</v>
      </c>
      <c r="AE22" s="18">
        <v>10.718</v>
      </c>
      <c r="AG22" s="13">
        <f t="shared" si="6"/>
        <v>12.349937499999999</v>
      </c>
      <c r="AH22" s="14">
        <f t="shared" si="7"/>
        <v>3.1539779802460456E-2</v>
      </c>
      <c r="AI22" s="14">
        <f t="shared" si="8"/>
        <v>1.1277635260799924E-2</v>
      </c>
      <c r="AJ22" s="14">
        <f t="shared" si="9"/>
        <v>7.4860110053558797E-3</v>
      </c>
      <c r="AK22" s="14">
        <f t="shared" si="10"/>
        <v>2.0262144541660535E-2</v>
      </c>
      <c r="AL22" s="11">
        <f t="shared" si="11"/>
        <v>2826208</v>
      </c>
      <c r="AM22" s="14">
        <v>-12</v>
      </c>
      <c r="AN22" s="15"/>
      <c r="AO22" s="15"/>
      <c r="AP22" s="15"/>
      <c r="AQ22" s="16">
        <v>7903960</v>
      </c>
      <c r="AR22" s="16">
        <v>1876016</v>
      </c>
      <c r="AS22" s="16">
        <v>950192</v>
      </c>
      <c r="AT22" s="16">
        <v>5077752</v>
      </c>
      <c r="AU22" s="17">
        <v>69.857615624999994</v>
      </c>
      <c r="AV22" s="17">
        <v>72.256340625000007</v>
      </c>
      <c r="AW22" s="17">
        <v>34.223978124999903</v>
      </c>
      <c r="AX22" s="17">
        <v>41.666478124999998</v>
      </c>
      <c r="AY22" s="17">
        <v>40.581540624999903</v>
      </c>
      <c r="AZ22" s="18">
        <v>255.001</v>
      </c>
      <c r="BA22" s="18">
        <v>229.98699999999999</v>
      </c>
      <c r="BB22" s="18">
        <v>1330.08</v>
      </c>
      <c r="BC22" s="18">
        <v>10.811999999999999</v>
      </c>
      <c r="BE22" s="43">
        <f t="shared" si="12"/>
        <v>1.0011136835721755</v>
      </c>
      <c r="BF22" s="19" t="e">
        <f t="shared" si="13"/>
        <v>#DIV/0!</v>
      </c>
      <c r="BG22" s="19">
        <f t="shared" si="14"/>
        <v>6.3332487175660201E-4</v>
      </c>
      <c r="BH22" s="19"/>
      <c r="BJ22" s="43"/>
      <c r="BK22" s="43"/>
      <c r="BL22" s="43"/>
      <c r="BM22" s="43"/>
      <c r="BN22" s="43"/>
      <c r="BP22" s="43"/>
      <c r="BQ22" s="43"/>
      <c r="BR22" s="43"/>
      <c r="BS22" s="43"/>
      <c r="BT22" s="43"/>
      <c r="BV22" s="51">
        <f t="shared" si="15"/>
        <v>0.56488109356043614</v>
      </c>
      <c r="BW22" s="51">
        <f t="shared" si="16"/>
        <v>0.54128654457550662</v>
      </c>
      <c r="BX22" s="51">
        <f t="shared" si="17"/>
        <v>0.31028546241800414</v>
      </c>
      <c r="BY22" s="51">
        <f t="shared" si="18"/>
        <v>0.55308381906797144</v>
      </c>
      <c r="BZ22" s="55"/>
      <c r="CA22" s="51"/>
      <c r="CC22" s="57"/>
    </row>
    <row r="23" spans="1:84" outlineLevel="1" x14ac:dyDescent="0.15">
      <c r="A23" s="46"/>
      <c r="B23" s="46" t="s">
        <v>26</v>
      </c>
      <c r="C23" s="3" t="s">
        <v>147</v>
      </c>
      <c r="D23" s="46">
        <v>250602891</v>
      </c>
      <c r="E23" s="3">
        <v>10</v>
      </c>
      <c r="F23" s="3">
        <v>32</v>
      </c>
      <c r="G23" s="3">
        <v>50</v>
      </c>
      <c r="I23" s="4">
        <f t="shared" si="0"/>
        <v>22.005125</v>
      </c>
      <c r="J23" s="5">
        <f t="shared" si="1"/>
        <v>5.619759590083899E-2</v>
      </c>
      <c r="K23" s="5">
        <f t="shared" si="2"/>
        <v>1.5193503892977835E-2</v>
      </c>
      <c r="L23" s="5">
        <f t="shared" si="3"/>
        <v>1.140187963753379E-2</v>
      </c>
      <c r="M23" s="5">
        <f t="shared" si="4"/>
        <v>4.1004092007861155E-2</v>
      </c>
      <c r="N23" s="46">
        <f t="shared" si="5"/>
        <v>3807536</v>
      </c>
      <c r="O23" s="5">
        <v>-12</v>
      </c>
      <c r="P23" s="6">
        <v>32769151</v>
      </c>
      <c r="Q23" s="6">
        <v>1024035.96875</v>
      </c>
      <c r="R23" s="6">
        <v>36890.875</v>
      </c>
      <c r="S23" s="7">
        <v>14083280</v>
      </c>
      <c r="T23" s="7">
        <v>2857344</v>
      </c>
      <c r="U23" s="7">
        <v>950192</v>
      </c>
      <c r="V23" s="7">
        <v>10275744</v>
      </c>
      <c r="W23" s="8">
        <v>70.891781249999894</v>
      </c>
      <c r="X23" s="8">
        <v>73.621353124999999</v>
      </c>
      <c r="Y23" s="8">
        <v>35.690490625000002</v>
      </c>
      <c r="Z23" s="8">
        <v>42.822521875</v>
      </c>
      <c r="AA23" s="8">
        <v>41.617903124999998</v>
      </c>
      <c r="AB23" s="9">
        <v>633.92999999999995</v>
      </c>
      <c r="AC23" s="9">
        <v>544.75</v>
      </c>
      <c r="AD23" s="9">
        <v>2017</v>
      </c>
      <c r="AE23" s="9">
        <v>10.656000000000001</v>
      </c>
      <c r="AG23" s="4">
        <f t="shared" si="6"/>
        <v>21.989537500000001</v>
      </c>
      <c r="AH23" s="5">
        <f t="shared" si="7"/>
        <v>5.6157787900379806E-2</v>
      </c>
      <c r="AI23" s="5">
        <f t="shared" si="8"/>
        <v>1.5184469679561677E-2</v>
      </c>
      <c r="AJ23" s="5">
        <f t="shared" si="9"/>
        <v>1.1392845424117634E-2</v>
      </c>
      <c r="AK23" s="5">
        <f t="shared" si="10"/>
        <v>4.0973318220818129E-2</v>
      </c>
      <c r="AL23" s="46">
        <f t="shared" si="11"/>
        <v>3805272</v>
      </c>
      <c r="AM23" s="5">
        <v>-12</v>
      </c>
      <c r="AN23" s="6"/>
      <c r="AO23" s="6"/>
      <c r="AP23" s="6"/>
      <c r="AQ23" s="7">
        <v>14073304</v>
      </c>
      <c r="AR23" s="7">
        <v>2855080</v>
      </c>
      <c r="AS23" s="7">
        <v>950192</v>
      </c>
      <c r="AT23" s="7">
        <v>10268032</v>
      </c>
      <c r="AU23" s="8">
        <v>70.886906249999896</v>
      </c>
      <c r="AV23" s="8">
        <v>73.612703124999996</v>
      </c>
      <c r="AW23" s="8">
        <v>35.678853124999897</v>
      </c>
      <c r="AX23" s="8">
        <v>42.821071875000001</v>
      </c>
      <c r="AY23" s="8">
        <v>41.622137500000001</v>
      </c>
      <c r="AZ23" s="9">
        <v>348.87299999999999</v>
      </c>
      <c r="BA23" s="9">
        <v>296.08999999999997</v>
      </c>
      <c r="BB23" s="9">
        <v>1487.53</v>
      </c>
      <c r="BC23" s="9">
        <v>10.795999999999999</v>
      </c>
      <c r="BE23" s="44">
        <f t="shared" si="12"/>
        <v>0.99940538973236226</v>
      </c>
      <c r="BF23" s="10" t="e">
        <f t="shared" si="13"/>
        <v>#DIV/0!</v>
      </c>
      <c r="BG23" s="10">
        <f t="shared" si="14"/>
        <v>3.077440022536404E-5</v>
      </c>
      <c r="BH23" s="10"/>
      <c r="BJ23" s="44"/>
      <c r="BK23" s="44"/>
      <c r="BL23" s="44"/>
      <c r="BM23" s="44"/>
      <c r="BN23" s="44"/>
      <c r="BP23" s="44"/>
      <c r="BQ23" s="44"/>
      <c r="BR23" s="44"/>
      <c r="BS23" s="44"/>
      <c r="BT23" s="44"/>
      <c r="BV23" s="51">
        <f t="shared" si="15"/>
        <v>0.44966636694903223</v>
      </c>
      <c r="BW23" s="51">
        <f t="shared" si="16"/>
        <v>0.45646626893070219</v>
      </c>
      <c r="BX23" s="51">
        <f t="shared" si="17"/>
        <v>0.26250371839365394</v>
      </c>
      <c r="BY23" s="51">
        <f t="shared" si="18"/>
        <v>0.45306631793986718</v>
      </c>
      <c r="BZ23" s="55"/>
      <c r="CA23" s="51"/>
      <c r="CC23" s="57"/>
    </row>
    <row r="24" spans="1:84" ht="14.25" outlineLevel="1" thickBot="1" x14ac:dyDescent="0.2">
      <c r="A24" s="30"/>
      <c r="B24" s="30" t="s">
        <v>26</v>
      </c>
      <c r="C24" s="31" t="s">
        <v>148</v>
      </c>
      <c r="D24" s="30">
        <v>250602891</v>
      </c>
      <c r="E24" s="31">
        <v>10</v>
      </c>
      <c r="F24" s="31">
        <v>32</v>
      </c>
      <c r="G24" s="31">
        <v>50</v>
      </c>
      <c r="I24" s="32">
        <f t="shared" si="0"/>
        <v>38.627387499999998</v>
      </c>
      <c r="J24" s="33">
        <f t="shared" si="1"/>
        <v>9.8648215514800269E-2</v>
      </c>
      <c r="K24" s="33">
        <f t="shared" si="2"/>
        <v>2.5280761824890519E-2</v>
      </c>
      <c r="L24" s="33">
        <f t="shared" si="3"/>
        <v>1.7958835119743291E-2</v>
      </c>
      <c r="M24" s="33">
        <f t="shared" si="4"/>
        <v>7.336745368990974E-2</v>
      </c>
      <c r="N24" s="30">
        <f t="shared" si="5"/>
        <v>6335432</v>
      </c>
      <c r="O24" s="33">
        <v>-12</v>
      </c>
      <c r="P24" s="34">
        <v>31405837</v>
      </c>
      <c r="Q24" s="34">
        <v>981432.40625</v>
      </c>
      <c r="R24" s="34">
        <v>18371.09375</v>
      </c>
      <c r="S24" s="35">
        <v>24721528</v>
      </c>
      <c r="T24" s="35">
        <v>4500536</v>
      </c>
      <c r="U24" s="35">
        <v>1834896</v>
      </c>
      <c r="V24" s="35">
        <v>18386096</v>
      </c>
      <c r="W24" s="36">
        <v>71.729621874999907</v>
      </c>
      <c r="X24" s="36">
        <v>75.643156249999905</v>
      </c>
      <c r="Y24" s="36">
        <v>36.543587500000001</v>
      </c>
      <c r="Z24" s="36">
        <v>43.589959374999999</v>
      </c>
      <c r="AA24" s="36">
        <v>42.051628125000001</v>
      </c>
      <c r="AB24" s="37">
        <v>679.25900000000001</v>
      </c>
      <c r="AC24" s="37">
        <v>624.96</v>
      </c>
      <c r="AD24" s="37">
        <v>2170.64</v>
      </c>
      <c r="AE24" s="37">
        <v>11.045999999999999</v>
      </c>
      <c r="AG24" s="32">
        <f t="shared" si="6"/>
        <v>38.639412499999999</v>
      </c>
      <c r="AH24" s="33">
        <f t="shared" si="7"/>
        <v>9.8678925455812083E-2</v>
      </c>
      <c r="AI24" s="33">
        <f t="shared" si="8"/>
        <v>2.5300043326315816E-2</v>
      </c>
      <c r="AJ24" s="33">
        <f t="shared" si="9"/>
        <v>1.7978116621168588E-2</v>
      </c>
      <c r="AK24" s="33">
        <f t="shared" si="10"/>
        <v>7.3378882129496267E-2</v>
      </c>
      <c r="AL24" s="30">
        <f t="shared" si="11"/>
        <v>6340264</v>
      </c>
      <c r="AM24" s="33">
        <v>-12</v>
      </c>
      <c r="AN24" s="34"/>
      <c r="AO24" s="34"/>
      <c r="AP24" s="34"/>
      <c r="AQ24" s="35">
        <v>24729224</v>
      </c>
      <c r="AR24" s="35">
        <v>4505368</v>
      </c>
      <c r="AS24" s="35">
        <v>1834896</v>
      </c>
      <c r="AT24" s="35">
        <v>18388960</v>
      </c>
      <c r="AU24" s="36">
        <v>71.736403124999896</v>
      </c>
      <c r="AV24" s="36">
        <v>75.641612499999994</v>
      </c>
      <c r="AW24" s="36">
        <v>36.556565624999998</v>
      </c>
      <c r="AX24" s="36">
        <v>43.577712499999997</v>
      </c>
      <c r="AY24" s="36">
        <v>42.049053124999901</v>
      </c>
      <c r="AZ24" s="37">
        <v>500.89800000000002</v>
      </c>
      <c r="BA24" s="37">
        <v>426.512</v>
      </c>
      <c r="BB24" s="37">
        <v>1786.3</v>
      </c>
      <c r="BC24" s="37">
        <v>10.906000000000001</v>
      </c>
      <c r="BE24" s="38">
        <f t="shared" si="12"/>
        <v>1.0007626946355039</v>
      </c>
      <c r="BF24" s="39" t="e">
        <f t="shared" si="13"/>
        <v>#DIV/0!</v>
      </c>
      <c r="BG24" s="39">
        <f t="shared" si="14"/>
        <v>1.1564179101608563E-4</v>
      </c>
      <c r="BH24" s="39"/>
      <c r="BJ24" s="38"/>
      <c r="BK24" s="38"/>
      <c r="BL24" s="38"/>
      <c r="BM24" s="38"/>
      <c r="BN24" s="38"/>
      <c r="BP24" s="38"/>
      <c r="BQ24" s="38"/>
      <c r="BR24" s="38"/>
      <c r="BS24" s="38"/>
      <c r="BT24" s="38"/>
      <c r="BV24" s="52">
        <f t="shared" si="15"/>
        <v>0.26258172508571836</v>
      </c>
      <c r="BW24" s="52">
        <f t="shared" si="16"/>
        <v>0.31753712237583209</v>
      </c>
      <c r="BX24" s="52">
        <f t="shared" si="17"/>
        <v>0.1770629860317694</v>
      </c>
      <c r="BY24" s="52">
        <f t="shared" si="18"/>
        <v>0.2900594237307752</v>
      </c>
      <c r="BZ24" s="55">
        <f>AVERAGE(BV20:BV24)</f>
        <v>0.52248892431569405</v>
      </c>
      <c r="CA24" s="51">
        <f>AVERAGE(BW20:BW24)</f>
        <v>0.529482529096023</v>
      </c>
      <c r="CB24" s="51">
        <f>AVERAGE(BX20:BX24)</f>
        <v>0.29495483746576195</v>
      </c>
      <c r="CC24" s="58">
        <f>AVERAGE(BY20:BY24)</f>
        <v>0.52598572670585853</v>
      </c>
      <c r="CD24" s="51">
        <f>(SUM(AB20:AB24)-SUM(AZ20:AZ24))/SUM(AB20:AB24)</f>
        <v>0.50804025575478529</v>
      </c>
      <c r="CE24" s="51">
        <f>(SUM(AC20:AC24)-SUM(BA20:BA24))/SUM(AC20:AC24)</f>
        <v>0.51455218571386385</v>
      </c>
      <c r="CF24" s="51">
        <f>(SUM(AB20:AC24)-SUM(AZ20:BA24))/SUM(AB20:AC24)</f>
        <v>0.51108248323163774</v>
      </c>
    </row>
    <row r="25" spans="1:84" x14ac:dyDescent="0.15">
      <c r="A25" s="46" t="s">
        <v>149</v>
      </c>
      <c r="B25" s="46" t="s">
        <v>27</v>
      </c>
      <c r="C25" s="3" t="s">
        <v>144</v>
      </c>
      <c r="D25" s="46">
        <v>250294582</v>
      </c>
      <c r="E25" s="3">
        <v>10</v>
      </c>
      <c r="F25" s="3">
        <v>32</v>
      </c>
      <c r="G25" s="3">
        <v>30</v>
      </c>
      <c r="I25" s="4">
        <f t="shared" si="0"/>
        <v>4.3608675000000003</v>
      </c>
      <c r="J25" s="5">
        <f t="shared" si="1"/>
        <v>1.8584469399341611E-2</v>
      </c>
      <c r="K25" s="5">
        <f t="shared" si="2"/>
        <v>6.4496481989370427E-3</v>
      </c>
      <c r="L25" s="5">
        <f t="shared" si="3"/>
        <v>3.6966041877806209E-3</v>
      </c>
      <c r="M25" s="5">
        <f t="shared" si="4"/>
        <v>1.213482120040457E-2</v>
      </c>
      <c r="N25" s="46">
        <f t="shared" si="5"/>
        <v>1614312</v>
      </c>
      <c r="O25" s="5">
        <v>-12</v>
      </c>
      <c r="P25" s="6">
        <v>23148086</v>
      </c>
      <c r="Q25" s="6">
        <v>723377.6875</v>
      </c>
      <c r="R25" s="6">
        <v>13979.90625</v>
      </c>
      <c r="S25" s="7">
        <v>4651592</v>
      </c>
      <c r="T25" s="7">
        <v>925240</v>
      </c>
      <c r="U25" s="7">
        <v>689072</v>
      </c>
      <c r="V25" s="7">
        <v>3037280</v>
      </c>
      <c r="W25" s="8">
        <v>66.202731249999999</v>
      </c>
      <c r="X25" s="8">
        <v>67.991668750000002</v>
      </c>
      <c r="Y25" s="8">
        <v>27.334187499999999</v>
      </c>
      <c r="Z25" s="8">
        <v>33.179340624999902</v>
      </c>
      <c r="AA25" s="8">
        <v>32.601890624999903</v>
      </c>
      <c r="AB25" s="9">
        <v>465.16699999999997</v>
      </c>
      <c r="AC25" s="9">
        <v>439.43200000000002</v>
      </c>
      <c r="AD25" s="9">
        <v>1346.13</v>
      </c>
      <c r="AE25" s="9">
        <v>10.234</v>
      </c>
      <c r="AG25" s="4">
        <f t="shared" si="6"/>
        <v>4.3576499999999996</v>
      </c>
      <c r="AH25" s="5">
        <f t="shared" si="7"/>
        <v>1.8570757556390094E-2</v>
      </c>
      <c r="AI25" s="5">
        <f t="shared" si="8"/>
        <v>6.4455889820259869E-3</v>
      </c>
      <c r="AJ25" s="5">
        <f t="shared" si="9"/>
        <v>3.6925449708695652E-3</v>
      </c>
      <c r="AK25" s="5">
        <f t="shared" si="10"/>
        <v>1.2125168574364107E-2</v>
      </c>
      <c r="AL25" s="46">
        <f t="shared" si="11"/>
        <v>1613296</v>
      </c>
      <c r="AM25" s="5">
        <v>-12</v>
      </c>
      <c r="AN25" s="6"/>
      <c r="AO25" s="6"/>
      <c r="AP25" s="6"/>
      <c r="AQ25" s="7">
        <v>4648160</v>
      </c>
      <c r="AR25" s="7">
        <v>924224</v>
      </c>
      <c r="AS25" s="7">
        <v>689072</v>
      </c>
      <c r="AT25" s="7">
        <v>3034864</v>
      </c>
      <c r="AU25" s="8">
        <v>66.186274999999995</v>
      </c>
      <c r="AV25" s="8">
        <v>67.945565624999901</v>
      </c>
      <c r="AW25" s="8">
        <v>27.333331250000001</v>
      </c>
      <c r="AX25" s="8">
        <v>33.171581250000003</v>
      </c>
      <c r="AY25" s="8">
        <v>32.596249999999998</v>
      </c>
      <c r="AZ25" s="9">
        <v>138.60599999999999</v>
      </c>
      <c r="BA25" s="9">
        <v>164.16900000000001</v>
      </c>
      <c r="BB25" s="9">
        <v>740.28099999999995</v>
      </c>
      <c r="BC25" s="9">
        <v>10.281000000000001</v>
      </c>
      <c r="BE25" s="44">
        <f t="shared" si="12"/>
        <v>0.99937062971717983</v>
      </c>
      <c r="BF25" s="10" t="e">
        <f t="shared" si="13"/>
        <v>#DIV/0!</v>
      </c>
      <c r="BG25" s="10">
        <f t="shared" si="14"/>
        <v>3.7661919484233142E-5</v>
      </c>
      <c r="BH25" s="10">
        <f t="array" ref="BH25">AVERAGE(AL25:AL29/AQ25:AQ29) - AVERAGE(N25:N29/S25:S29)</f>
        <v>-9.8196257347638038E-8</v>
      </c>
      <c r="BJ25" s="44">
        <f>IF( OR(ISBLANK(N25:N29),ISBLANK(AL25:AL29), ISBLANK(W25:W29),ISBLANK(AU25:AU29)), "·", bdRateExtend( N25:N29,W25:W29, AL25:AL29,AU25:AU29))</f>
        <v>7.451348718099382E-4</v>
      </c>
      <c r="BK25" s="44">
        <f>IF( OR(ISBLANK(N25:N29),ISBLANK(AL25:AL29), ISBLANK(X25:X29),ISBLANK(AV25:AV29)), "·", bdRateExtend( N25:N29,X25:X29, AL25:AL29,AV25:AV29))</f>
        <v>9.2026828195335142E-4</v>
      </c>
      <c r="BL25" s="44">
        <f>IF( OR(ISBLANK(V25:V29),ISBLANK(AT25:AT29), ISBLANK(Y25:Y29),ISBLANK(AW25:AW29)), "·", bdRateExtend( V25:V29,Y25:Y29, AT25:AT29,AW25:AW29))</f>
        <v>6.6063084868495103E-4</v>
      </c>
      <c r="BM25" s="44">
        <f>IF( OR(ISBLANK(V25:V29),ISBLANK(AT25:AT29), ISBLANK(Z25:Z29),ISBLANK(AX25:AX29)), "·", bdRateExtend( V25:V29,Z25:Z29, AT25:AT29,AX25:AX29))</f>
        <v>2.2080963348902749E-4</v>
      </c>
      <c r="BN25" s="44">
        <f>IF( OR(ISBLANK(V25:V29),ISBLANK(AT25:AT29), ISBLANK(AA25:AA29),ISBLANK(AY25:AY29)), "·", bdRateExtend( V25:V29,AA25:AA29, AT25:AT29,AY25:AY29))</f>
        <v>5.3055984575101078E-4</v>
      </c>
      <c r="BP25" s="44">
        <f>IF( OR(ISBLANK(S25:S29),ISBLANK(AQ25:AQ29), ISBLANK(W25:W29),ISBLANK(AU25:AU29)), "·", bdRateExtend( S25:S29,W25:W29, AQ25:AQ29,AU25:AU29))</f>
        <v>2.4932999852760318E-3</v>
      </c>
      <c r="BQ25" s="44">
        <f>IF( OR(ISBLANK(S25:S29),ISBLANK(AQ25:AQ29), ISBLANK(X25:X29),ISBLANK(AV25:AV29)), "·", bdRateExtend( S25:S29,X25:X29, AQ25:AQ29,AV25:AV29))</f>
        <v>2.939495417954241E-3</v>
      </c>
      <c r="BR25" s="44">
        <f>IF( OR(ISBLANK(S25:S29),ISBLANK(AQ25:AQ29), ISBLANK(Y25:Y29),ISBLANK(AW25:AW29)), "·", bdRateExtend( S25:S29,Y25:Y29, AQ25:AQ29,AW25:AW29))</f>
        <v>5.226982173560657E-4</v>
      </c>
      <c r="BS25" s="44">
        <f>IF( OR(ISBLANK(S25:S29),ISBLANK(AQ25:AQ29), ISBLANK(Z25:Z29),ISBLANK(AX25:AX29)), "·", bdRateExtend( S25:S29,Z25:Z29, AQ25:AQ29,AX25:AX29))</f>
        <v>1.0402093439743076E-4</v>
      </c>
      <c r="BT25" s="44">
        <f>IF( OR(ISBLANK(S25:S29),ISBLANK(AQ25:AQ29), ISBLANK(AA25:AA29),ISBLANK(AY25:AY29)), "·", bdRateExtend( S25:S29,AA25:AA29, AQ25:AQ29,AY25:AY29))</f>
        <v>4.3325453478160192E-4</v>
      </c>
      <c r="BV25" s="51">
        <f t="shared" si="15"/>
        <v>0.70202959367280993</v>
      </c>
      <c r="BW25" s="51">
        <f t="shared" si="16"/>
        <v>0.62640636093866631</v>
      </c>
      <c r="BX25" s="51">
        <f t="shared" si="17"/>
        <v>0.45006722976235586</v>
      </c>
      <c r="BY25" s="51">
        <f t="shared" si="18"/>
        <v>0.66421797730573817</v>
      </c>
      <c r="BZ25" s="55"/>
      <c r="CA25" s="51"/>
      <c r="CC25" s="57"/>
    </row>
    <row r="26" spans="1:84" outlineLevel="1" x14ac:dyDescent="0.15">
      <c r="A26" s="11"/>
      <c r="B26" s="11" t="s">
        <v>27</v>
      </c>
      <c r="C26" s="12" t="s">
        <v>145</v>
      </c>
      <c r="D26" s="11">
        <v>250294582</v>
      </c>
      <c r="E26" s="12">
        <v>10</v>
      </c>
      <c r="F26" s="12">
        <v>32</v>
      </c>
      <c r="G26" s="12">
        <v>30</v>
      </c>
      <c r="I26" s="13">
        <f t="shared" si="0"/>
        <v>7.4916749999999999</v>
      </c>
      <c r="J26" s="14">
        <f t="shared" si="1"/>
        <v>3.192685968727841E-2</v>
      </c>
      <c r="K26" s="14">
        <f t="shared" si="2"/>
        <v>7.9828495848144245E-3</v>
      </c>
      <c r="L26" s="14">
        <f t="shared" si="3"/>
        <v>5.2298055736580027E-3</v>
      </c>
      <c r="M26" s="14">
        <f t="shared" si="4"/>
        <v>2.3944010102463983E-2</v>
      </c>
      <c r="N26" s="11">
        <f t="shared" si="5"/>
        <v>1998064</v>
      </c>
      <c r="O26" s="14">
        <v>-12</v>
      </c>
      <c r="P26" s="15">
        <v>24596617</v>
      </c>
      <c r="Q26" s="15">
        <v>768644.28125</v>
      </c>
      <c r="R26" s="15">
        <v>17690.84375</v>
      </c>
      <c r="S26" s="16">
        <v>7991120</v>
      </c>
      <c r="T26" s="16">
        <v>1308992</v>
      </c>
      <c r="U26" s="16">
        <v>689072</v>
      </c>
      <c r="V26" s="16">
        <v>5993056</v>
      </c>
      <c r="W26" s="17">
        <v>67.955109375000006</v>
      </c>
      <c r="X26" s="17">
        <v>69.951062499999907</v>
      </c>
      <c r="Y26" s="17">
        <v>29.714649999999999</v>
      </c>
      <c r="Z26" s="17">
        <v>34.343318750000002</v>
      </c>
      <c r="AA26" s="17">
        <v>33.888874999999999</v>
      </c>
      <c r="AB26" s="18">
        <v>497.53</v>
      </c>
      <c r="AC26" s="18">
        <v>454.13099999999997</v>
      </c>
      <c r="AD26" s="18">
        <v>1392.09</v>
      </c>
      <c r="AE26" s="18">
        <v>10.343</v>
      </c>
      <c r="AG26" s="13">
        <f t="shared" si="6"/>
        <v>7.4867249999999999</v>
      </c>
      <c r="AH26" s="14">
        <f t="shared" si="7"/>
        <v>3.1905764544276072E-2</v>
      </c>
      <c r="AI26" s="14">
        <f t="shared" si="8"/>
        <v>7.9768406652925474E-3</v>
      </c>
      <c r="AJ26" s="14">
        <f t="shared" si="9"/>
        <v>5.2237966541361248E-3</v>
      </c>
      <c r="AK26" s="14">
        <f t="shared" si="10"/>
        <v>2.3928923878983526E-2</v>
      </c>
      <c r="AL26" s="11">
        <f t="shared" si="11"/>
        <v>1996560</v>
      </c>
      <c r="AM26" s="14">
        <v>-12</v>
      </c>
      <c r="AN26" s="15"/>
      <c r="AO26" s="15"/>
      <c r="AP26" s="15"/>
      <c r="AQ26" s="16">
        <v>7985840</v>
      </c>
      <c r="AR26" s="16">
        <v>1307488</v>
      </c>
      <c r="AS26" s="16">
        <v>689072</v>
      </c>
      <c r="AT26" s="16">
        <v>5989280</v>
      </c>
      <c r="AU26" s="17">
        <v>67.945706249999901</v>
      </c>
      <c r="AV26" s="17">
        <v>69.933243750000003</v>
      </c>
      <c r="AW26" s="17">
        <v>29.7067624999999</v>
      </c>
      <c r="AX26" s="17">
        <v>34.341181249999899</v>
      </c>
      <c r="AY26" s="17">
        <v>33.8877124999999</v>
      </c>
      <c r="AZ26" s="18">
        <v>177.20699999999999</v>
      </c>
      <c r="BA26" s="18">
        <v>200.19300000000001</v>
      </c>
      <c r="BB26" s="18">
        <v>819.35900000000004</v>
      </c>
      <c r="BC26" s="18">
        <v>10.343</v>
      </c>
      <c r="BE26" s="43">
        <f t="shared" si="12"/>
        <v>0.9992472713586753</v>
      </c>
      <c r="BF26" s="19" t="e">
        <f t="shared" si="13"/>
        <v>#DIV/0!</v>
      </c>
      <c r="BG26" s="19">
        <f t="shared" si="14"/>
        <v>-2.3017284557447226E-5</v>
      </c>
      <c r="BH26" s="19"/>
      <c r="BJ26" s="43"/>
      <c r="BK26" s="43"/>
      <c r="BL26" s="43"/>
      <c r="BM26" s="43"/>
      <c r="BN26" s="43"/>
      <c r="BP26" s="43"/>
      <c r="BQ26" s="43"/>
      <c r="BR26" s="43"/>
      <c r="BS26" s="43"/>
      <c r="BT26" s="43"/>
      <c r="BV26" s="51">
        <f t="shared" si="15"/>
        <v>0.64382650292444676</v>
      </c>
      <c r="BW26" s="51">
        <f t="shared" si="16"/>
        <v>0.55917345435568144</v>
      </c>
      <c r="BX26" s="51">
        <f t="shared" si="17"/>
        <v>0.41141808360091653</v>
      </c>
      <c r="BY26" s="51">
        <f t="shared" si="18"/>
        <v>0.6014999786400641</v>
      </c>
      <c r="BZ26" s="55"/>
      <c r="CA26" s="51"/>
      <c r="CC26" s="57"/>
    </row>
    <row r="27" spans="1:84" outlineLevel="1" x14ac:dyDescent="0.15">
      <c r="A27" s="46"/>
      <c r="B27" s="46" t="s">
        <v>27</v>
      </c>
      <c r="C27" s="3" t="s">
        <v>146</v>
      </c>
      <c r="D27" s="46">
        <v>250294582</v>
      </c>
      <c r="E27" s="3">
        <v>10</v>
      </c>
      <c r="F27" s="3">
        <v>32</v>
      </c>
      <c r="G27" s="3">
        <v>30</v>
      </c>
      <c r="I27" s="4">
        <f t="shared" si="0"/>
        <v>13.183875</v>
      </c>
      <c r="J27" s="5">
        <f t="shared" si="1"/>
        <v>5.6184995646449909E-2</v>
      </c>
      <c r="K27" s="5">
        <f t="shared" si="2"/>
        <v>1.028832497860461E-2</v>
      </c>
      <c r="L27" s="5">
        <f t="shared" si="3"/>
        <v>7.5352809674481885E-3</v>
      </c>
      <c r="M27" s="5">
        <f t="shared" si="4"/>
        <v>4.58966706678453E-2</v>
      </c>
      <c r="N27" s="46">
        <f t="shared" si="5"/>
        <v>2575112</v>
      </c>
      <c r="O27" s="5">
        <v>-12</v>
      </c>
      <c r="P27" s="6">
        <v>24867879</v>
      </c>
      <c r="Q27" s="6">
        <v>777121.21875</v>
      </c>
      <c r="R27" s="6">
        <v>18587.625</v>
      </c>
      <c r="S27" s="7">
        <v>14062800</v>
      </c>
      <c r="T27" s="7">
        <v>1886040</v>
      </c>
      <c r="U27" s="7">
        <v>689072</v>
      </c>
      <c r="V27" s="7">
        <v>11487688</v>
      </c>
      <c r="W27" s="8">
        <v>69.271965624999893</v>
      </c>
      <c r="X27" s="8">
        <v>71.647043749999995</v>
      </c>
      <c r="Y27" s="8">
        <v>32.215471874999999</v>
      </c>
      <c r="Z27" s="8">
        <v>35.579521874999998</v>
      </c>
      <c r="AA27" s="8">
        <v>35.207475000000002</v>
      </c>
      <c r="AB27" s="9">
        <v>528.10500000000002</v>
      </c>
      <c r="AC27" s="9">
        <v>490.21199999999999</v>
      </c>
      <c r="AD27" s="9">
        <v>1456.08</v>
      </c>
      <c r="AE27" s="9">
        <v>10.327999999999999</v>
      </c>
      <c r="AG27" s="4">
        <f t="shared" si="6"/>
        <v>13.18083</v>
      </c>
      <c r="AH27" s="5">
        <f t="shared" si="7"/>
        <v>5.6172018937269683E-2</v>
      </c>
      <c r="AI27" s="5">
        <f t="shared" si="8"/>
        <v>1.0287174334440846E-2</v>
      </c>
      <c r="AJ27" s="5">
        <f t="shared" si="9"/>
        <v>7.5341303232844253E-3</v>
      </c>
      <c r="AK27" s="5">
        <f t="shared" si="10"/>
        <v>4.5884844602828836E-2</v>
      </c>
      <c r="AL27" s="46">
        <f t="shared" si="11"/>
        <v>2574824</v>
      </c>
      <c r="AM27" s="5">
        <v>-12</v>
      </c>
      <c r="AN27" s="6"/>
      <c r="AO27" s="6"/>
      <c r="AP27" s="6"/>
      <c r="AQ27" s="7">
        <v>14059552</v>
      </c>
      <c r="AR27" s="7">
        <v>1885752</v>
      </c>
      <c r="AS27" s="7">
        <v>689072</v>
      </c>
      <c r="AT27" s="7">
        <v>11484728</v>
      </c>
      <c r="AU27" s="8">
        <v>69.262790624999994</v>
      </c>
      <c r="AV27" s="8">
        <v>71.641521874999995</v>
      </c>
      <c r="AW27" s="8">
        <v>32.213212499999997</v>
      </c>
      <c r="AX27" s="8">
        <v>35.579221875000002</v>
      </c>
      <c r="AY27" s="8">
        <v>35.206490625000001</v>
      </c>
      <c r="AZ27" s="9">
        <v>230.077</v>
      </c>
      <c r="BA27" s="9">
        <v>267.541</v>
      </c>
      <c r="BB27" s="9">
        <v>938.29600000000005</v>
      </c>
      <c r="BC27" s="9">
        <v>10.125</v>
      </c>
      <c r="BE27" s="44">
        <f t="shared" si="12"/>
        <v>0.99988816020429405</v>
      </c>
      <c r="BF27" s="10" t="e">
        <f t="shared" si="13"/>
        <v>#DIV/0!</v>
      </c>
      <c r="BG27" s="10">
        <f t="shared" si="14"/>
        <v>2.1818481074825646E-5</v>
      </c>
      <c r="BH27" s="10"/>
      <c r="BJ27" s="44"/>
      <c r="BK27" s="44"/>
      <c r="BL27" s="44"/>
      <c r="BM27" s="44"/>
      <c r="BN27" s="44"/>
      <c r="BP27" s="44"/>
      <c r="BQ27" s="44"/>
      <c r="BR27" s="44"/>
      <c r="BS27" s="44"/>
      <c r="BT27" s="44"/>
      <c r="BV27" s="51">
        <f t="shared" si="15"/>
        <v>0.56433474403764405</v>
      </c>
      <c r="BW27" s="51">
        <f t="shared" si="16"/>
        <v>0.45423408647687125</v>
      </c>
      <c r="BX27" s="51">
        <f t="shared" si="17"/>
        <v>0.35560134058568205</v>
      </c>
      <c r="BY27" s="51">
        <f t="shared" si="18"/>
        <v>0.50928441525725765</v>
      </c>
      <c r="BZ27" s="55"/>
      <c r="CA27" s="51"/>
      <c r="CC27" s="57"/>
    </row>
    <row r="28" spans="1:84" outlineLevel="1" x14ac:dyDescent="0.15">
      <c r="A28" s="11"/>
      <c r="B28" s="11" t="s">
        <v>27</v>
      </c>
      <c r="C28" s="12" t="s">
        <v>147</v>
      </c>
      <c r="D28" s="11">
        <v>250294582</v>
      </c>
      <c r="E28" s="12">
        <v>10</v>
      </c>
      <c r="F28" s="12">
        <v>32</v>
      </c>
      <c r="G28" s="12">
        <v>30</v>
      </c>
      <c r="I28" s="13">
        <f t="shared" si="0"/>
        <v>24.458400000000001</v>
      </c>
      <c r="J28" s="14">
        <f t="shared" si="1"/>
        <v>0.10423301931481681</v>
      </c>
      <c r="K28" s="14">
        <f t="shared" si="2"/>
        <v>1.4138636049261346E-2</v>
      </c>
      <c r="L28" s="14">
        <f t="shared" si="3"/>
        <v>1.1385592038104924E-2</v>
      </c>
      <c r="M28" s="14">
        <f t="shared" si="4"/>
        <v>9.0094383265555467E-2</v>
      </c>
      <c r="N28" s="11">
        <f t="shared" si="5"/>
        <v>3538824</v>
      </c>
      <c r="O28" s="14">
        <v>-12</v>
      </c>
      <c r="P28" s="15">
        <v>25503045</v>
      </c>
      <c r="Q28" s="15">
        <v>796970.15625</v>
      </c>
      <c r="R28" s="15">
        <v>20905.71875</v>
      </c>
      <c r="S28" s="16">
        <v>26088960</v>
      </c>
      <c r="T28" s="16">
        <v>2849752</v>
      </c>
      <c r="U28" s="16">
        <v>689072</v>
      </c>
      <c r="V28" s="16">
        <v>22550136</v>
      </c>
      <c r="W28" s="17">
        <v>70.438771874999901</v>
      </c>
      <c r="X28" s="17">
        <v>72.973003124999906</v>
      </c>
      <c r="Y28" s="17">
        <v>34.905471874999897</v>
      </c>
      <c r="Z28" s="17">
        <v>37.372971874999998</v>
      </c>
      <c r="AA28" s="17">
        <v>36.936059374999999</v>
      </c>
      <c r="AB28" s="18">
        <v>556.94299999999998</v>
      </c>
      <c r="AC28" s="18">
        <v>582.54499999999996</v>
      </c>
      <c r="AD28" s="18">
        <v>1578.13</v>
      </c>
      <c r="AE28" s="18">
        <v>10.359</v>
      </c>
      <c r="AG28" s="13">
        <f t="shared" si="6"/>
        <v>24.45411</v>
      </c>
      <c r="AH28" s="14">
        <f t="shared" si="7"/>
        <v>0.10421473685754812</v>
      </c>
      <c r="AI28" s="14">
        <f t="shared" si="8"/>
        <v>1.4137421480421818E-2</v>
      </c>
      <c r="AJ28" s="14">
        <f t="shared" si="9"/>
        <v>1.1384377469265395E-2</v>
      </c>
      <c r="AK28" s="14">
        <f t="shared" si="10"/>
        <v>9.0077315377126307E-2</v>
      </c>
      <c r="AL28" s="11">
        <f t="shared" si="11"/>
        <v>3538520</v>
      </c>
      <c r="AM28" s="14">
        <v>-12</v>
      </c>
      <c r="AN28" s="15"/>
      <c r="AO28" s="15"/>
      <c r="AP28" s="15"/>
      <c r="AQ28" s="16">
        <v>26084384</v>
      </c>
      <c r="AR28" s="16">
        <v>2849448</v>
      </c>
      <c r="AS28" s="16">
        <v>689072</v>
      </c>
      <c r="AT28" s="16">
        <v>22545864</v>
      </c>
      <c r="AU28" s="17">
        <v>70.436578124999997</v>
      </c>
      <c r="AV28" s="17">
        <v>72.972531250000003</v>
      </c>
      <c r="AW28" s="17">
        <v>34.900896875000001</v>
      </c>
      <c r="AX28" s="17">
        <v>37.373778125000001</v>
      </c>
      <c r="AY28" s="17">
        <v>36.934743750000003</v>
      </c>
      <c r="AZ28" s="18">
        <v>302.57</v>
      </c>
      <c r="BA28" s="18">
        <v>366.55200000000002</v>
      </c>
      <c r="BB28" s="18">
        <v>1110.8800000000001</v>
      </c>
      <c r="BC28" s="18">
        <v>10.420999999999999</v>
      </c>
      <c r="BE28" s="43">
        <f t="shared" si="12"/>
        <v>0.99991409575610424</v>
      </c>
      <c r="BF28" s="19" t="e">
        <f t="shared" si="13"/>
        <v>#DIV/0!</v>
      </c>
      <c r="BG28" s="19">
        <f t="shared" si="14"/>
        <v>1.2141718334246487E-5</v>
      </c>
      <c r="BH28" s="19"/>
      <c r="BJ28" s="43"/>
      <c r="BK28" s="43"/>
      <c r="BL28" s="43"/>
      <c r="BM28" s="43"/>
      <c r="BN28" s="43"/>
      <c r="BP28" s="43"/>
      <c r="BQ28" s="43"/>
      <c r="BR28" s="43"/>
      <c r="BS28" s="43"/>
      <c r="BT28" s="43"/>
      <c r="BV28" s="51">
        <f t="shared" si="15"/>
        <v>0.45673076059848133</v>
      </c>
      <c r="BW28" s="51">
        <f t="shared" si="16"/>
        <v>0.37077478993039159</v>
      </c>
      <c r="BX28" s="51">
        <f t="shared" si="17"/>
        <v>0.2960782698510262</v>
      </c>
      <c r="BY28" s="51">
        <f t="shared" si="18"/>
        <v>0.41375277526443643</v>
      </c>
      <c r="BZ28" s="55"/>
      <c r="CA28" s="51"/>
      <c r="CC28" s="57"/>
    </row>
    <row r="29" spans="1:84" ht="14.25" outlineLevel="1" thickBot="1" x14ac:dyDescent="0.2">
      <c r="A29" s="20"/>
      <c r="B29" s="20" t="s">
        <v>27</v>
      </c>
      <c r="C29" s="21" t="s">
        <v>148</v>
      </c>
      <c r="D29" s="20">
        <v>250294582</v>
      </c>
      <c r="E29" s="21">
        <v>10</v>
      </c>
      <c r="F29" s="21">
        <v>32</v>
      </c>
      <c r="G29" s="21">
        <v>30</v>
      </c>
      <c r="I29" s="22">
        <f t="shared" si="0"/>
        <v>44.156122500000002</v>
      </c>
      <c r="J29" s="23">
        <f t="shared" si="1"/>
        <v>0.18817772092246088</v>
      </c>
      <c r="K29" s="23">
        <f t="shared" si="2"/>
        <v>2.2856395669004135E-2</v>
      </c>
      <c r="L29" s="23">
        <f t="shared" si="3"/>
        <v>1.7621859669339546E-2</v>
      </c>
      <c r="M29" s="23">
        <f t="shared" si="4"/>
        <v>0.16532132525345675</v>
      </c>
      <c r="N29" s="20">
        <f t="shared" si="5"/>
        <v>5720832</v>
      </c>
      <c r="O29" s="23">
        <v>-12</v>
      </c>
      <c r="P29" s="24">
        <v>24554524</v>
      </c>
      <c r="Q29" s="24">
        <v>767328.875</v>
      </c>
      <c r="R29" s="24">
        <v>9745.3125</v>
      </c>
      <c r="S29" s="25">
        <v>47099864</v>
      </c>
      <c r="T29" s="25">
        <v>4410656</v>
      </c>
      <c r="U29" s="25">
        <v>1310176</v>
      </c>
      <c r="V29" s="25">
        <v>41379032</v>
      </c>
      <c r="W29" s="26">
        <v>71.141515624999997</v>
      </c>
      <c r="X29" s="26">
        <v>74.899956249999903</v>
      </c>
      <c r="Y29" s="26">
        <v>37.334449999999997</v>
      </c>
      <c r="Z29" s="26">
        <v>39.404759374999998</v>
      </c>
      <c r="AA29" s="26">
        <v>38.75755625</v>
      </c>
      <c r="AB29" s="27">
        <v>596.798</v>
      </c>
      <c r="AC29" s="27">
        <v>691.16800000000001</v>
      </c>
      <c r="AD29" s="27">
        <v>1743.5</v>
      </c>
      <c r="AE29" s="27">
        <v>10.561999999999999</v>
      </c>
      <c r="AG29" s="22">
        <f t="shared" si="6"/>
        <v>44.155754999999999</v>
      </c>
      <c r="AH29" s="23">
        <f t="shared" si="7"/>
        <v>0.18817615476790464</v>
      </c>
      <c r="AI29" s="23">
        <f t="shared" si="8"/>
        <v>2.2846966779328848E-2</v>
      </c>
      <c r="AJ29" s="23">
        <f t="shared" si="9"/>
        <v>1.7612430779664259E-2</v>
      </c>
      <c r="AK29" s="23">
        <f t="shared" si="10"/>
        <v>0.16532918798857579</v>
      </c>
      <c r="AL29" s="20">
        <f t="shared" si="11"/>
        <v>5718472</v>
      </c>
      <c r="AM29" s="23">
        <v>-12</v>
      </c>
      <c r="AN29" s="24"/>
      <c r="AO29" s="24"/>
      <c r="AP29" s="24"/>
      <c r="AQ29" s="25">
        <v>47099472</v>
      </c>
      <c r="AR29" s="25">
        <v>4408296</v>
      </c>
      <c r="AS29" s="25">
        <v>1310176</v>
      </c>
      <c r="AT29" s="25">
        <v>41381000</v>
      </c>
      <c r="AU29" s="26">
        <v>71.146893750000004</v>
      </c>
      <c r="AV29" s="26">
        <v>74.902006249999999</v>
      </c>
      <c r="AW29" s="26">
        <v>37.338096874999998</v>
      </c>
      <c r="AX29" s="26">
        <v>39.40426875</v>
      </c>
      <c r="AY29" s="26">
        <v>38.751181250000002</v>
      </c>
      <c r="AZ29" s="27">
        <v>451.20400000000001</v>
      </c>
      <c r="BA29" s="27">
        <v>528.19899999999996</v>
      </c>
      <c r="BB29" s="27">
        <v>1435.33</v>
      </c>
      <c r="BC29" s="27">
        <v>10.295999999999999</v>
      </c>
      <c r="BE29" s="28">
        <f t="shared" si="12"/>
        <v>0.99958747259139924</v>
      </c>
      <c r="BF29" s="29" t="e">
        <f t="shared" si="13"/>
        <v>#DIV/0!</v>
      </c>
      <c r="BG29" s="29">
        <f t="shared" si="14"/>
        <v>-4.9095815622290928E-5</v>
      </c>
      <c r="BH29" s="29"/>
      <c r="BJ29" s="28"/>
      <c r="BK29" s="28"/>
      <c r="BL29" s="28"/>
      <c r="BM29" s="28"/>
      <c r="BN29" s="28"/>
      <c r="BP29" s="28"/>
      <c r="BQ29" s="28"/>
      <c r="BR29" s="28"/>
      <c r="BS29" s="28"/>
      <c r="BT29" s="28"/>
      <c r="BV29" s="51">
        <f t="shared" si="15"/>
        <v>0.24395859235453202</v>
      </c>
      <c r="BW29" s="51">
        <f t="shared" si="16"/>
        <v>0.23578782582526975</v>
      </c>
      <c r="BX29" s="51">
        <f t="shared" si="17"/>
        <v>0.17675365643819907</v>
      </c>
      <c r="BY29" s="51">
        <f t="shared" si="18"/>
        <v>0.2398732090899009</v>
      </c>
      <c r="BZ29" s="55">
        <f t="shared" ref="BZ29" si="25">AVERAGE(BV25:BV29)</f>
        <v>0.52217603871758289</v>
      </c>
      <c r="CA29" s="51">
        <f t="shared" ref="CA29" si="26">AVERAGE(BW25:BW29)</f>
        <v>0.44927530350537603</v>
      </c>
      <c r="CB29" s="51">
        <f>AVERAGE(BX25:BX29)</f>
        <v>0.33798371604763594</v>
      </c>
      <c r="CC29" s="58">
        <f>AVERAGE(BY25:BY29)</f>
        <v>0.48572567111147941</v>
      </c>
      <c r="CD29" s="51">
        <f>(SUM(AB25:AB29)-SUM(AZ25:AZ29))/SUM(AB25:AB29)</f>
        <v>0.50854873601979622</v>
      </c>
      <c r="CE29" s="51">
        <f>(SUM(AC25:AC29)-SUM(BA25:BA29))/SUM(AC25:AC29)</f>
        <v>0.42552741536368188</v>
      </c>
      <c r="CF29" s="51">
        <f>(SUM(AB25:AC29)-SUM(AZ25:BA29))/SUM(AB25:AC29)</f>
        <v>0.46693672669963626</v>
      </c>
    </row>
    <row r="30" spans="1:84" x14ac:dyDescent="0.15">
      <c r="A30" s="11" t="s">
        <v>150</v>
      </c>
      <c r="B30" s="11" t="s">
        <v>28</v>
      </c>
      <c r="C30" s="12" t="s">
        <v>144</v>
      </c>
      <c r="D30" s="11">
        <v>375422539</v>
      </c>
      <c r="E30" s="12">
        <v>11</v>
      </c>
      <c r="F30" s="12">
        <v>32</v>
      </c>
      <c r="G30" s="12">
        <v>30</v>
      </c>
      <c r="I30" s="13" t="str">
        <f t="shared" si="0"/>
        <v>·</v>
      </c>
      <c r="J30" s="14" t="str">
        <f t="shared" si="1"/>
        <v>·</v>
      </c>
      <c r="K30" s="14" t="str">
        <f t="shared" si="2"/>
        <v>·</v>
      </c>
      <c r="L30" s="14" t="str">
        <f t="shared" si="3"/>
        <v>·</v>
      </c>
      <c r="M30" s="14" t="str">
        <f t="shared" si="4"/>
        <v>·</v>
      </c>
      <c r="N30" s="11" t="str">
        <f t="shared" si="5"/>
        <v/>
      </c>
      <c r="O30" s="14">
        <v>-12</v>
      </c>
      <c r="P30" s="15">
        <v>84256321</v>
      </c>
      <c r="Q30" s="15">
        <v>2633010.03125</v>
      </c>
      <c r="R30" s="15">
        <v>31474.3125</v>
      </c>
      <c r="S30" s="16"/>
      <c r="T30" s="16"/>
      <c r="U30" s="16"/>
      <c r="V30" s="16"/>
      <c r="W30" s="17"/>
      <c r="X30" s="17"/>
      <c r="Y30" s="17"/>
      <c r="Z30" s="17"/>
      <c r="AA30" s="17"/>
      <c r="AB30" s="18"/>
      <c r="AC30" s="18"/>
      <c r="AD30" s="18"/>
      <c r="AE30" s="18"/>
      <c r="AG30" s="13" t="str">
        <f t="shared" si="6"/>
        <v>·</v>
      </c>
      <c r="AH30" s="14" t="str">
        <f t="shared" si="7"/>
        <v>·</v>
      </c>
      <c r="AI30" s="14" t="str">
        <f t="shared" si="8"/>
        <v>·</v>
      </c>
      <c r="AJ30" s="14" t="str">
        <f t="shared" si="9"/>
        <v>·</v>
      </c>
      <c r="AK30" s="14" t="str">
        <f t="shared" si="10"/>
        <v>·</v>
      </c>
      <c r="AL30" s="11" t="str">
        <f t="shared" si="11"/>
        <v/>
      </c>
      <c r="AM30" s="14">
        <v>-12</v>
      </c>
      <c r="AN30" s="15"/>
      <c r="AO30" s="15"/>
      <c r="AP30" s="15"/>
      <c r="AQ30" s="16"/>
      <c r="AR30" s="16"/>
      <c r="AS30" s="16"/>
      <c r="AT30" s="16"/>
      <c r="AU30" s="17"/>
      <c r="AV30" s="17"/>
      <c r="AW30" s="17"/>
      <c r="AX30" s="17"/>
      <c r="AY30" s="17"/>
      <c r="AZ30" s="18"/>
      <c r="BA30" s="18"/>
      <c r="BB30" s="18"/>
      <c r="BC30" s="18"/>
      <c r="BE30" s="43" t="e">
        <f t="shared" si="12"/>
        <v>#VALUE!</v>
      </c>
      <c r="BF30" s="19" t="e">
        <f t="shared" si="13"/>
        <v>#DIV/0!</v>
      </c>
      <c r="BG30" s="19" t="e">
        <f t="shared" si="14"/>
        <v>#VALUE!</v>
      </c>
      <c r="BH30" s="19" t="e">
        <f t="array" ref="BH30">AVERAGE(AL30:AL34/AQ30:AQ34) - AVERAGE(N30:N34/S30:S34)</f>
        <v>#VALUE!</v>
      </c>
      <c r="BJ30" s="43" t="str">
        <f>IF( OR(ISBLANK(N30:N34),ISBLANK(AL30:AL34), ISBLANK(W30:W34),ISBLANK(AU30:AU34)), "·", bdRateExtend( N30:N34,W30:W34, AL30:AL34,AU30:AU34))</f>
        <v>·</v>
      </c>
      <c r="BK30" s="43" t="str">
        <f>IF( OR(ISBLANK(N30:N34),ISBLANK(AL30:AL34), ISBLANK(X30:X34),ISBLANK(AV30:AV34)), "·", bdRateExtend( N30:N34,X30:X34, AL30:AL34,AV30:AV34))</f>
        <v>·</v>
      </c>
      <c r="BL30" s="43" t="str">
        <f>IF( OR(ISBLANK(V30:V34),ISBLANK(AT30:AT34), ISBLANK(Y30:Y34),ISBLANK(AW30:AW34)), "·", bdRateExtend( V30:V34,Y30:Y34, AT30:AT34,AW30:AW34))</f>
        <v>·</v>
      </c>
      <c r="BM30" s="43" t="str">
        <f>IF( OR(ISBLANK(V30:V34),ISBLANK(AT30:AT34), ISBLANK(Z30:Z34),ISBLANK(AX30:AX34)), "·", bdRateExtend( V30:V34,Z30:Z34, AT30:AT34,AX30:AX34))</f>
        <v>·</v>
      </c>
      <c r="BN30" s="43" t="str">
        <f>IF( OR(ISBLANK(V30:V34),ISBLANK(AT30:AT34), ISBLANK(AA30:AA34),ISBLANK(AY30:AY34)), "·", bdRateExtend( V30:V34,AA30:AA34, AT30:AT34,AY30:AY34))</f>
        <v>·</v>
      </c>
      <c r="BP30" s="43" t="str">
        <f>IF( OR(ISBLANK(S30:S34),ISBLANK(AQ30:AQ34), ISBLANK(W30:W34),ISBLANK(AU30:AU34)), "·", bdRateExtend( S30:S34,W30:W34, AQ30:AQ34,AU30:AU34))</f>
        <v>·</v>
      </c>
      <c r="BQ30" s="43" t="str">
        <f>IF( OR(ISBLANK(S30:S34),ISBLANK(AQ30:AQ34), ISBLANK(X30:X34),ISBLANK(AV30:AV34)), "·", bdRateExtend( S30:S34,X30:X34, AQ30:AQ34,AV30:AV34))</f>
        <v>·</v>
      </c>
      <c r="BR30" s="43" t="str">
        <f>IF( OR(ISBLANK(S30:S34),ISBLANK(AQ30:AQ34), ISBLANK(Y30:Y34),ISBLANK(AW30:AW34)), "·", bdRateExtend( S30:S34,Y30:Y34, AQ30:AQ34,AW30:AW34))</f>
        <v>·</v>
      </c>
      <c r="BS30" s="43" t="str">
        <f>IF( OR(ISBLANK(S30:S34),ISBLANK(AQ30:AQ34), ISBLANK(Z30:Z34),ISBLANK(AX30:AX34)), "·", bdRateExtend( S30:S34,Z30:Z34, AQ30:AQ34,AX30:AX34))</f>
        <v>·</v>
      </c>
      <c r="BT30" s="43" t="str">
        <f>IF( OR(ISBLANK(S30:S34),ISBLANK(AQ30:AQ34), ISBLANK(AA30:AA34),ISBLANK(AY30:AY34)), "·", bdRateExtend( S30:S34,AA30:AA34, AQ30:AQ34,AY30:AY34))</f>
        <v>·</v>
      </c>
      <c r="BV30" s="51" t="e">
        <f t="shared" si="15"/>
        <v>#DIV/0!</v>
      </c>
      <c r="BW30" s="51" t="e">
        <f t="shared" si="16"/>
        <v>#DIV/0!</v>
      </c>
      <c r="BX30" s="51" t="e">
        <f t="shared" si="17"/>
        <v>#DIV/0!</v>
      </c>
      <c r="BY30" s="51" t="e">
        <f t="shared" si="18"/>
        <v>#DIV/0!</v>
      </c>
      <c r="BZ30" s="55"/>
      <c r="CA30" s="51"/>
      <c r="CC30" s="57"/>
    </row>
    <row r="31" spans="1:84" outlineLevel="1" x14ac:dyDescent="0.15">
      <c r="A31" s="46"/>
      <c r="B31" s="46" t="s">
        <v>28</v>
      </c>
      <c r="C31" s="3" t="s">
        <v>145</v>
      </c>
      <c r="D31" s="46">
        <v>375422539</v>
      </c>
      <c r="E31" s="3">
        <v>11</v>
      </c>
      <c r="F31" s="3">
        <v>32</v>
      </c>
      <c r="G31" s="3">
        <v>30</v>
      </c>
      <c r="I31" s="4" t="str">
        <f t="shared" si="0"/>
        <v>·</v>
      </c>
      <c r="J31" s="5" t="str">
        <f t="shared" si="1"/>
        <v>·</v>
      </c>
      <c r="K31" s="5" t="str">
        <f t="shared" si="2"/>
        <v>·</v>
      </c>
      <c r="L31" s="5" t="str">
        <f t="shared" si="3"/>
        <v>·</v>
      </c>
      <c r="M31" s="5" t="str">
        <f t="shared" si="4"/>
        <v>·</v>
      </c>
      <c r="N31" s="46" t="str">
        <f t="shared" si="5"/>
        <v/>
      </c>
      <c r="O31" s="5">
        <v>-12</v>
      </c>
      <c r="P31" s="6">
        <v>89796795</v>
      </c>
      <c r="Q31" s="6">
        <v>2806149.84375</v>
      </c>
      <c r="R31" s="6">
        <v>39729</v>
      </c>
      <c r="S31" s="7"/>
      <c r="T31" s="7"/>
      <c r="U31" s="7"/>
      <c r="V31" s="7"/>
      <c r="W31" s="8"/>
      <c r="X31" s="8"/>
      <c r="Y31" s="8"/>
      <c r="Z31" s="8"/>
      <c r="AA31" s="8"/>
      <c r="AB31" s="9"/>
      <c r="AC31" s="9"/>
      <c r="AD31" s="9"/>
      <c r="AE31" s="9"/>
      <c r="AG31" s="4" t="str">
        <f t="shared" si="6"/>
        <v>·</v>
      </c>
      <c r="AH31" s="5" t="str">
        <f t="shared" si="7"/>
        <v>·</v>
      </c>
      <c r="AI31" s="5" t="str">
        <f t="shared" si="8"/>
        <v>·</v>
      </c>
      <c r="AJ31" s="5" t="str">
        <f t="shared" si="9"/>
        <v>·</v>
      </c>
      <c r="AK31" s="5" t="str">
        <f t="shared" si="10"/>
        <v>·</v>
      </c>
      <c r="AL31" s="46" t="str">
        <f t="shared" si="11"/>
        <v/>
      </c>
      <c r="AM31" s="5">
        <v>-12</v>
      </c>
      <c r="AN31" s="6"/>
      <c r="AO31" s="6"/>
      <c r="AP31" s="6"/>
      <c r="AQ31" s="7"/>
      <c r="AR31" s="7"/>
      <c r="AS31" s="7"/>
      <c r="AT31" s="7"/>
      <c r="AU31" s="8"/>
      <c r="AV31" s="8"/>
      <c r="AW31" s="8"/>
      <c r="AX31" s="8"/>
      <c r="AY31" s="8"/>
      <c r="AZ31" s="9"/>
      <c r="BA31" s="9"/>
      <c r="BB31" s="9"/>
      <c r="BC31" s="9"/>
      <c r="BE31" s="44" t="e">
        <f t="shared" si="12"/>
        <v>#VALUE!</v>
      </c>
      <c r="BF31" s="10" t="e">
        <f t="shared" si="13"/>
        <v>#DIV/0!</v>
      </c>
      <c r="BG31" s="10" t="e">
        <f t="shared" si="14"/>
        <v>#VALUE!</v>
      </c>
      <c r="BH31" s="10"/>
      <c r="BJ31" s="44"/>
      <c r="BK31" s="44"/>
      <c r="BL31" s="44"/>
      <c r="BM31" s="44"/>
      <c r="BN31" s="44"/>
      <c r="BP31" s="44"/>
      <c r="BQ31" s="44"/>
      <c r="BR31" s="44"/>
      <c r="BS31" s="44"/>
      <c r="BT31" s="44"/>
      <c r="BV31" s="51" t="e">
        <f t="shared" si="15"/>
        <v>#DIV/0!</v>
      </c>
      <c r="BW31" s="51" t="e">
        <f t="shared" si="16"/>
        <v>#DIV/0!</v>
      </c>
      <c r="BX31" s="51" t="e">
        <f t="shared" si="17"/>
        <v>#DIV/0!</v>
      </c>
      <c r="BY31" s="51" t="e">
        <f t="shared" si="18"/>
        <v>#DIV/0!</v>
      </c>
      <c r="BZ31" s="55"/>
      <c r="CA31" s="51"/>
      <c r="CC31" s="57"/>
    </row>
    <row r="32" spans="1:84" outlineLevel="1" x14ac:dyDescent="0.15">
      <c r="A32" s="11"/>
      <c r="B32" s="11" t="s">
        <v>28</v>
      </c>
      <c r="C32" s="12" t="s">
        <v>146</v>
      </c>
      <c r="D32" s="11">
        <v>375422539</v>
      </c>
      <c r="E32" s="12">
        <v>11</v>
      </c>
      <c r="F32" s="12">
        <v>32</v>
      </c>
      <c r="G32" s="12">
        <v>30</v>
      </c>
      <c r="I32" s="13" t="str">
        <f t="shared" si="0"/>
        <v>·</v>
      </c>
      <c r="J32" s="14" t="str">
        <f t="shared" si="1"/>
        <v>·</v>
      </c>
      <c r="K32" s="14" t="str">
        <f t="shared" si="2"/>
        <v>·</v>
      </c>
      <c r="L32" s="14" t="str">
        <f t="shared" si="3"/>
        <v>·</v>
      </c>
      <c r="M32" s="14" t="str">
        <f t="shared" si="4"/>
        <v>·</v>
      </c>
      <c r="N32" s="11" t="str">
        <f t="shared" si="5"/>
        <v/>
      </c>
      <c r="O32" s="14">
        <v>-12</v>
      </c>
      <c r="P32" s="15">
        <v>91551049</v>
      </c>
      <c r="Q32" s="15">
        <v>2860970.28125</v>
      </c>
      <c r="R32" s="15">
        <v>42562.1875</v>
      </c>
      <c r="S32" s="16"/>
      <c r="T32" s="16"/>
      <c r="U32" s="16"/>
      <c r="V32" s="16"/>
      <c r="W32" s="17"/>
      <c r="X32" s="17"/>
      <c r="Y32" s="17"/>
      <c r="Z32" s="17"/>
      <c r="AA32" s="17"/>
      <c r="AB32" s="18"/>
      <c r="AC32" s="18"/>
      <c r="AD32" s="18"/>
      <c r="AE32" s="18"/>
      <c r="AG32" s="13" t="str">
        <f t="shared" si="6"/>
        <v>·</v>
      </c>
      <c r="AH32" s="14" t="str">
        <f t="shared" si="7"/>
        <v>·</v>
      </c>
      <c r="AI32" s="14" t="str">
        <f t="shared" si="8"/>
        <v>·</v>
      </c>
      <c r="AJ32" s="14" t="str">
        <f t="shared" si="9"/>
        <v>·</v>
      </c>
      <c r="AK32" s="14" t="str">
        <f t="shared" si="10"/>
        <v>·</v>
      </c>
      <c r="AL32" s="11" t="str">
        <f t="shared" si="11"/>
        <v/>
      </c>
      <c r="AM32" s="14">
        <v>-12</v>
      </c>
      <c r="AN32" s="15"/>
      <c r="AO32" s="15"/>
      <c r="AP32" s="15"/>
      <c r="AQ32" s="16"/>
      <c r="AR32" s="16"/>
      <c r="AS32" s="16"/>
      <c r="AT32" s="16"/>
      <c r="AU32" s="17"/>
      <c r="AV32" s="17"/>
      <c r="AW32" s="17"/>
      <c r="AX32" s="17"/>
      <c r="AY32" s="17"/>
      <c r="AZ32" s="18"/>
      <c r="BA32" s="18"/>
      <c r="BB32" s="18"/>
      <c r="BC32" s="18"/>
      <c r="BE32" s="43" t="e">
        <f t="shared" si="12"/>
        <v>#VALUE!</v>
      </c>
      <c r="BF32" s="19" t="e">
        <f t="shared" si="13"/>
        <v>#DIV/0!</v>
      </c>
      <c r="BG32" s="19" t="e">
        <f t="shared" si="14"/>
        <v>#VALUE!</v>
      </c>
      <c r="BH32" s="19"/>
      <c r="BJ32" s="43"/>
      <c r="BK32" s="43"/>
      <c r="BL32" s="43"/>
      <c r="BM32" s="43"/>
      <c r="BN32" s="43"/>
      <c r="BP32" s="43"/>
      <c r="BQ32" s="43"/>
      <c r="BR32" s="43"/>
      <c r="BS32" s="43"/>
      <c r="BT32" s="43"/>
      <c r="BV32" s="51" t="e">
        <f t="shared" si="15"/>
        <v>#DIV/0!</v>
      </c>
      <c r="BW32" s="51" t="e">
        <f t="shared" si="16"/>
        <v>#DIV/0!</v>
      </c>
      <c r="BX32" s="51" t="e">
        <f t="shared" si="17"/>
        <v>#DIV/0!</v>
      </c>
      <c r="BY32" s="51" t="e">
        <f t="shared" si="18"/>
        <v>#DIV/0!</v>
      </c>
      <c r="BZ32" s="55"/>
      <c r="CA32" s="51"/>
      <c r="CC32" s="57"/>
    </row>
    <row r="33" spans="1:81" outlineLevel="1" x14ac:dyDescent="0.15">
      <c r="A33" s="46"/>
      <c r="B33" s="46" t="s">
        <v>28</v>
      </c>
      <c r="C33" s="3" t="s">
        <v>147</v>
      </c>
      <c r="D33" s="46">
        <v>375422539</v>
      </c>
      <c r="E33" s="3">
        <v>11</v>
      </c>
      <c r="F33" s="3">
        <v>32</v>
      </c>
      <c r="G33" s="3">
        <v>30</v>
      </c>
      <c r="I33" s="4" t="str">
        <f t="shared" si="0"/>
        <v>·</v>
      </c>
      <c r="J33" s="5" t="str">
        <f t="shared" si="1"/>
        <v>·</v>
      </c>
      <c r="K33" s="5" t="str">
        <f t="shared" si="2"/>
        <v>·</v>
      </c>
      <c r="L33" s="5" t="str">
        <f t="shared" si="3"/>
        <v>·</v>
      </c>
      <c r="M33" s="5" t="str">
        <f t="shared" si="4"/>
        <v>·</v>
      </c>
      <c r="N33" s="46" t="str">
        <f t="shared" si="5"/>
        <v/>
      </c>
      <c r="O33" s="5">
        <v>-12</v>
      </c>
      <c r="P33" s="6">
        <v>93835548</v>
      </c>
      <c r="Q33" s="6">
        <v>2932360.875</v>
      </c>
      <c r="R33" s="6">
        <v>47386.6875</v>
      </c>
      <c r="S33" s="7"/>
      <c r="T33" s="7"/>
      <c r="U33" s="7"/>
      <c r="V33" s="7"/>
      <c r="W33" s="8"/>
      <c r="X33" s="8"/>
      <c r="Y33" s="8"/>
      <c r="Z33" s="8"/>
      <c r="AA33" s="8"/>
      <c r="AB33" s="9"/>
      <c r="AC33" s="9"/>
      <c r="AD33" s="9"/>
      <c r="AE33" s="9"/>
      <c r="AG33" s="4" t="str">
        <f t="shared" si="6"/>
        <v>·</v>
      </c>
      <c r="AH33" s="5" t="str">
        <f t="shared" si="7"/>
        <v>·</v>
      </c>
      <c r="AI33" s="5" t="str">
        <f t="shared" si="8"/>
        <v>·</v>
      </c>
      <c r="AJ33" s="5" t="str">
        <f t="shared" si="9"/>
        <v>·</v>
      </c>
      <c r="AK33" s="5" t="str">
        <f t="shared" si="10"/>
        <v>·</v>
      </c>
      <c r="AL33" s="46" t="str">
        <f t="shared" si="11"/>
        <v/>
      </c>
      <c r="AM33" s="5">
        <v>-12</v>
      </c>
      <c r="AN33" s="6"/>
      <c r="AO33" s="6"/>
      <c r="AP33" s="6"/>
      <c r="AQ33" s="7"/>
      <c r="AR33" s="7"/>
      <c r="AS33" s="7"/>
      <c r="AT33" s="7"/>
      <c r="AU33" s="8"/>
      <c r="AV33" s="8"/>
      <c r="AW33" s="8"/>
      <c r="AX33" s="8"/>
      <c r="AY33" s="8"/>
      <c r="AZ33" s="9"/>
      <c r="BA33" s="9"/>
      <c r="BB33" s="9"/>
      <c r="BC33" s="9"/>
      <c r="BE33" s="44" t="e">
        <f t="shared" si="12"/>
        <v>#VALUE!</v>
      </c>
      <c r="BF33" s="10" t="e">
        <f t="shared" si="13"/>
        <v>#DIV/0!</v>
      </c>
      <c r="BG33" s="10" t="e">
        <f t="shared" si="14"/>
        <v>#VALUE!</v>
      </c>
      <c r="BH33" s="10"/>
      <c r="BJ33" s="44"/>
      <c r="BK33" s="44"/>
      <c r="BL33" s="44"/>
      <c r="BM33" s="44"/>
      <c r="BN33" s="44"/>
      <c r="BP33" s="44"/>
      <c r="BQ33" s="44"/>
      <c r="BR33" s="44"/>
      <c r="BS33" s="44"/>
      <c r="BT33" s="44"/>
      <c r="BV33" s="51" t="e">
        <f t="shared" si="15"/>
        <v>#DIV/0!</v>
      </c>
      <c r="BW33" s="51" t="e">
        <f t="shared" si="16"/>
        <v>#DIV/0!</v>
      </c>
      <c r="BX33" s="51" t="e">
        <f t="shared" si="17"/>
        <v>#DIV/0!</v>
      </c>
      <c r="BY33" s="51" t="e">
        <f t="shared" si="18"/>
        <v>#DIV/0!</v>
      </c>
      <c r="BZ33" s="55"/>
      <c r="CA33" s="51"/>
      <c r="CC33" s="57"/>
    </row>
    <row r="34" spans="1:81" ht="14.25" outlineLevel="1" thickBot="1" x14ac:dyDescent="0.2">
      <c r="A34" s="11"/>
      <c r="B34" s="30" t="s">
        <v>28</v>
      </c>
      <c r="C34" s="31" t="s">
        <v>148</v>
      </c>
      <c r="D34" s="30">
        <v>375422539</v>
      </c>
      <c r="E34" s="31">
        <v>11</v>
      </c>
      <c r="F34" s="31">
        <v>32</v>
      </c>
      <c r="G34" s="31">
        <v>30</v>
      </c>
      <c r="I34" s="32" t="str">
        <f t="shared" si="0"/>
        <v>·</v>
      </c>
      <c r="J34" s="33" t="str">
        <f t="shared" si="1"/>
        <v>·</v>
      </c>
      <c r="K34" s="33" t="str">
        <f t="shared" si="2"/>
        <v>·</v>
      </c>
      <c r="L34" s="33" t="str">
        <f t="shared" si="3"/>
        <v>·</v>
      </c>
      <c r="M34" s="33" t="str">
        <f t="shared" si="4"/>
        <v>·</v>
      </c>
      <c r="N34" s="30" t="str">
        <f t="shared" si="5"/>
        <v/>
      </c>
      <c r="O34" s="33">
        <v>-12</v>
      </c>
      <c r="P34" s="34">
        <v>91937439</v>
      </c>
      <c r="Q34" s="34">
        <v>2873044.96875</v>
      </c>
      <c r="R34" s="34">
        <v>18769.40625</v>
      </c>
      <c r="S34" s="35"/>
      <c r="T34" s="35"/>
      <c r="U34" s="35"/>
      <c r="V34" s="35"/>
      <c r="W34" s="36"/>
      <c r="X34" s="36"/>
      <c r="Y34" s="36"/>
      <c r="Z34" s="36"/>
      <c r="AA34" s="36"/>
      <c r="AB34" s="37"/>
      <c r="AC34" s="37"/>
      <c r="AD34" s="37"/>
      <c r="AE34" s="37"/>
      <c r="AG34" s="32" t="str">
        <f t="shared" si="6"/>
        <v>·</v>
      </c>
      <c r="AH34" s="33" t="str">
        <f t="shared" si="7"/>
        <v>·</v>
      </c>
      <c r="AI34" s="33" t="str">
        <f t="shared" si="8"/>
        <v>·</v>
      </c>
      <c r="AJ34" s="33" t="str">
        <f t="shared" si="9"/>
        <v>·</v>
      </c>
      <c r="AK34" s="33" t="str">
        <f t="shared" si="10"/>
        <v>·</v>
      </c>
      <c r="AL34" s="30" t="str">
        <f t="shared" si="11"/>
        <v/>
      </c>
      <c r="AM34" s="33">
        <v>-12</v>
      </c>
      <c r="AN34" s="34"/>
      <c r="AO34" s="34"/>
      <c r="AP34" s="34"/>
      <c r="AQ34" s="35"/>
      <c r="AR34" s="35"/>
      <c r="AS34" s="35"/>
      <c r="AT34" s="35"/>
      <c r="AU34" s="36"/>
      <c r="AV34" s="36"/>
      <c r="AW34" s="36"/>
      <c r="AX34" s="36"/>
      <c r="AY34" s="36"/>
      <c r="AZ34" s="37"/>
      <c r="BA34" s="37"/>
      <c r="BB34" s="37"/>
      <c r="BC34" s="37"/>
      <c r="BE34" s="38" t="e">
        <f t="shared" si="12"/>
        <v>#VALUE!</v>
      </c>
      <c r="BF34" s="39" t="e">
        <f t="shared" si="13"/>
        <v>#DIV/0!</v>
      </c>
      <c r="BG34" s="39" t="e">
        <f t="shared" si="14"/>
        <v>#VALUE!</v>
      </c>
      <c r="BH34" s="39"/>
      <c r="BJ34" s="38"/>
      <c r="BK34" s="38"/>
      <c r="BL34" s="38"/>
      <c r="BM34" s="38"/>
      <c r="BN34" s="38"/>
      <c r="BP34" s="38"/>
      <c r="BQ34" s="38"/>
      <c r="BR34" s="38"/>
      <c r="BS34" s="38"/>
      <c r="BT34" s="38"/>
      <c r="BV34" s="51" t="e">
        <f t="shared" si="15"/>
        <v>#DIV/0!</v>
      </c>
      <c r="BW34" s="51" t="e">
        <f t="shared" si="16"/>
        <v>#DIV/0!</v>
      </c>
      <c r="BX34" s="51" t="e">
        <f t="shared" si="17"/>
        <v>#DIV/0!</v>
      </c>
      <c r="BY34" s="51" t="e">
        <f t="shared" si="18"/>
        <v>#DIV/0!</v>
      </c>
      <c r="BZ34" s="55"/>
      <c r="CA34" s="51"/>
      <c r="CC34" s="57"/>
    </row>
    <row r="35" spans="1:81" x14ac:dyDescent="0.15">
      <c r="A35" s="46"/>
      <c r="B35" s="46" t="s">
        <v>29</v>
      </c>
      <c r="C35" s="3" t="s">
        <v>144</v>
      </c>
      <c r="D35" s="46">
        <v>333190689</v>
      </c>
      <c r="E35" s="3">
        <v>11</v>
      </c>
      <c r="F35" s="3">
        <v>32</v>
      </c>
      <c r="G35" s="3">
        <v>30</v>
      </c>
      <c r="I35" s="4" t="str">
        <f t="shared" si="0"/>
        <v>·</v>
      </c>
      <c r="J35" s="5" t="str">
        <f t="shared" si="1"/>
        <v>·</v>
      </c>
      <c r="K35" s="5" t="str">
        <f t="shared" si="2"/>
        <v>·</v>
      </c>
      <c r="L35" s="5" t="str">
        <f t="shared" si="3"/>
        <v>·</v>
      </c>
      <c r="M35" s="5" t="str">
        <f t="shared" si="4"/>
        <v>·</v>
      </c>
      <c r="N35" s="46" t="str">
        <f t="shared" si="5"/>
        <v/>
      </c>
      <c r="O35" s="5">
        <v>-12</v>
      </c>
      <c r="P35" s="6">
        <v>74921620</v>
      </c>
      <c r="Q35" s="6">
        <v>2341300.625</v>
      </c>
      <c r="R35" s="6">
        <v>30932.375</v>
      </c>
      <c r="S35" s="7"/>
      <c r="T35" s="7"/>
      <c r="U35" s="7"/>
      <c r="V35" s="7"/>
      <c r="W35" s="8"/>
      <c r="X35" s="8"/>
      <c r="Y35" s="8"/>
      <c r="Z35" s="8"/>
      <c r="AA35" s="8"/>
      <c r="AB35" s="9"/>
      <c r="AC35" s="9"/>
      <c r="AD35" s="9"/>
      <c r="AE35" s="9"/>
      <c r="AG35" s="4" t="str">
        <f t="shared" si="6"/>
        <v>·</v>
      </c>
      <c r="AH35" s="5" t="str">
        <f t="shared" si="7"/>
        <v>·</v>
      </c>
      <c r="AI35" s="5" t="str">
        <f t="shared" si="8"/>
        <v>·</v>
      </c>
      <c r="AJ35" s="5" t="str">
        <f t="shared" si="9"/>
        <v>·</v>
      </c>
      <c r="AK35" s="5" t="str">
        <f t="shared" si="10"/>
        <v>·</v>
      </c>
      <c r="AL35" s="46" t="str">
        <f t="shared" si="11"/>
        <v/>
      </c>
      <c r="AM35" s="5">
        <v>-12</v>
      </c>
      <c r="AN35" s="6"/>
      <c r="AO35" s="6"/>
      <c r="AP35" s="6"/>
      <c r="AQ35" s="7"/>
      <c r="AR35" s="7"/>
      <c r="AS35" s="7"/>
      <c r="AT35" s="7"/>
      <c r="AU35" s="8"/>
      <c r="AV35" s="8"/>
      <c r="AW35" s="8"/>
      <c r="AX35" s="8"/>
      <c r="AY35" s="8"/>
      <c r="AZ35" s="9"/>
      <c r="BA35" s="9"/>
      <c r="BB35" s="9"/>
      <c r="BC35" s="9"/>
      <c r="BE35" s="44" t="e">
        <f t="shared" si="12"/>
        <v>#VALUE!</v>
      </c>
      <c r="BF35" s="10" t="e">
        <f t="shared" si="13"/>
        <v>#DIV/0!</v>
      </c>
      <c r="BG35" s="10" t="e">
        <f t="shared" si="14"/>
        <v>#VALUE!</v>
      </c>
      <c r="BH35" s="10" t="e">
        <f t="array" ref="BH35">AVERAGE(AL35:AL39/AQ35:AQ39) - AVERAGE(N35:N39/S35:S39)</f>
        <v>#VALUE!</v>
      </c>
      <c r="BJ35" s="44" t="str">
        <f>IF( OR(ISBLANK(N35:N39),ISBLANK(AL35:AL39), ISBLANK(W35:W39),ISBLANK(AU35:AU39)), "·", bdRateExtend( N35:N39,W35:W39, AL35:AL39,AU35:AU39))</f>
        <v>·</v>
      </c>
      <c r="BK35" s="44" t="str">
        <f>IF( OR(ISBLANK(N35:N39),ISBLANK(AL35:AL39), ISBLANK(X35:X39),ISBLANK(AV35:AV39)), "·", bdRateExtend( N35:N39,X35:X39, AL35:AL39,AV35:AV39))</f>
        <v>·</v>
      </c>
      <c r="BL35" s="44" t="str">
        <f>IF( OR(ISBLANK(V35:V39),ISBLANK(AT35:AT39), ISBLANK(Y35:Y39),ISBLANK(AW35:AW39)), "·", bdRateExtend( V35:V39,Y35:Y39, AT35:AT39,AW35:AW39))</f>
        <v>·</v>
      </c>
      <c r="BM35" s="44" t="str">
        <f>IF( OR(ISBLANK(V35:V39),ISBLANK(AT35:AT39), ISBLANK(Z35:Z39),ISBLANK(AX35:AX39)), "·", bdRateExtend( V35:V39,Z35:Z39, AT35:AT39,AX35:AX39))</f>
        <v>·</v>
      </c>
      <c r="BN35" s="44" t="str">
        <f>IF( OR(ISBLANK(V35:V39),ISBLANK(AT35:AT39), ISBLANK(AA35:AA39),ISBLANK(AY35:AY39)), "·", bdRateExtend( V35:V39,AA35:AA39, AT35:AT39,AY35:AY39))</f>
        <v>·</v>
      </c>
      <c r="BP35" s="44" t="str">
        <f>IF( OR(ISBLANK(S35:S39),ISBLANK(AQ35:AQ39), ISBLANK(W35:W39),ISBLANK(AU35:AU39)), "·", bdRateExtend( S35:S39,W35:W39, AQ35:AQ39,AU35:AU39))</f>
        <v>·</v>
      </c>
      <c r="BQ35" s="44" t="str">
        <f>IF( OR(ISBLANK(S35:S39),ISBLANK(AQ35:AQ39), ISBLANK(X35:X39),ISBLANK(AV35:AV39)), "·", bdRateExtend( S35:S39,X35:X39, AQ35:AQ39,AV35:AV39))</f>
        <v>·</v>
      </c>
      <c r="BR35" s="44" t="str">
        <f>IF( OR(ISBLANK(S35:S39),ISBLANK(AQ35:AQ39), ISBLANK(Y35:Y39),ISBLANK(AW35:AW39)), "·", bdRateExtend( S35:S39,Y35:Y39, AQ35:AQ39,AW35:AW39))</f>
        <v>·</v>
      </c>
      <c r="BS35" s="44" t="str">
        <f>IF( OR(ISBLANK(S35:S39),ISBLANK(AQ35:AQ39), ISBLANK(Z35:Z39),ISBLANK(AX35:AX39)), "·", bdRateExtend( S35:S39,Z35:Z39, AQ35:AQ39,AX35:AX39))</f>
        <v>·</v>
      </c>
      <c r="BT35" s="44" t="str">
        <f>IF( OR(ISBLANK(S35:S39),ISBLANK(AQ35:AQ39), ISBLANK(AA35:AA39),ISBLANK(AY35:AY39)), "·", bdRateExtend( S35:S39,AA35:AA39, AQ35:AQ39,AY35:AY39))</f>
        <v>·</v>
      </c>
      <c r="BV35" s="51" t="e">
        <f t="shared" si="15"/>
        <v>#DIV/0!</v>
      </c>
      <c r="BW35" s="51" t="e">
        <f t="shared" si="16"/>
        <v>#DIV/0!</v>
      </c>
      <c r="BX35" s="51" t="e">
        <f t="shared" si="17"/>
        <v>#DIV/0!</v>
      </c>
      <c r="BY35" s="51" t="e">
        <f t="shared" si="18"/>
        <v>#DIV/0!</v>
      </c>
      <c r="BZ35" s="55"/>
      <c r="CA35" s="51"/>
      <c r="CC35" s="57"/>
    </row>
    <row r="36" spans="1:81" outlineLevel="1" x14ac:dyDescent="0.15">
      <c r="A36" s="11"/>
      <c r="B36" s="11" t="s">
        <v>29</v>
      </c>
      <c r="C36" s="12" t="s">
        <v>145</v>
      </c>
      <c r="D36" s="11">
        <v>333190689</v>
      </c>
      <c r="E36" s="12">
        <v>11</v>
      </c>
      <c r="F36" s="12">
        <v>32</v>
      </c>
      <c r="G36" s="12">
        <v>30</v>
      </c>
      <c r="I36" s="13" t="str">
        <f t="shared" si="0"/>
        <v>·</v>
      </c>
      <c r="J36" s="14" t="str">
        <f t="shared" si="1"/>
        <v>·</v>
      </c>
      <c r="K36" s="14" t="str">
        <f t="shared" si="2"/>
        <v>·</v>
      </c>
      <c r="L36" s="14" t="str">
        <f t="shared" si="3"/>
        <v>·</v>
      </c>
      <c r="M36" s="14" t="str">
        <f t="shared" si="4"/>
        <v>·</v>
      </c>
      <c r="N36" s="11" t="str">
        <f t="shared" si="5"/>
        <v/>
      </c>
      <c r="O36" s="14">
        <v>-12</v>
      </c>
      <c r="P36" s="15">
        <v>79893061</v>
      </c>
      <c r="Q36" s="15">
        <v>2496658.15625</v>
      </c>
      <c r="R36" s="15">
        <v>39014.28125</v>
      </c>
      <c r="S36" s="16"/>
      <c r="T36" s="16"/>
      <c r="U36" s="16"/>
      <c r="V36" s="16"/>
      <c r="W36" s="17"/>
      <c r="X36" s="17"/>
      <c r="Y36" s="17"/>
      <c r="Z36" s="17"/>
      <c r="AA36" s="17"/>
      <c r="AB36" s="18"/>
      <c r="AC36" s="18"/>
      <c r="AD36" s="18"/>
      <c r="AE36" s="18"/>
      <c r="AG36" s="13" t="str">
        <f t="shared" si="6"/>
        <v>·</v>
      </c>
      <c r="AH36" s="14" t="str">
        <f t="shared" si="7"/>
        <v>·</v>
      </c>
      <c r="AI36" s="14" t="str">
        <f t="shared" si="8"/>
        <v>·</v>
      </c>
      <c r="AJ36" s="14" t="str">
        <f t="shared" si="9"/>
        <v>·</v>
      </c>
      <c r="AK36" s="14" t="str">
        <f t="shared" si="10"/>
        <v>·</v>
      </c>
      <c r="AL36" s="11" t="str">
        <f t="shared" si="11"/>
        <v/>
      </c>
      <c r="AM36" s="14">
        <v>-12</v>
      </c>
      <c r="AN36" s="15"/>
      <c r="AO36" s="15"/>
      <c r="AP36" s="15"/>
      <c r="AQ36" s="16"/>
      <c r="AR36" s="16"/>
      <c r="AS36" s="16"/>
      <c r="AT36" s="16"/>
      <c r="AU36" s="17"/>
      <c r="AV36" s="17"/>
      <c r="AW36" s="17"/>
      <c r="AX36" s="17"/>
      <c r="AY36" s="17"/>
      <c r="AZ36" s="18"/>
      <c r="BA36" s="18"/>
      <c r="BB36" s="18"/>
      <c r="BC36" s="18"/>
      <c r="BE36" s="43" t="e">
        <f t="shared" si="12"/>
        <v>#VALUE!</v>
      </c>
      <c r="BF36" s="19" t="e">
        <f t="shared" si="13"/>
        <v>#DIV/0!</v>
      </c>
      <c r="BG36" s="19" t="e">
        <f t="shared" si="14"/>
        <v>#VALUE!</v>
      </c>
      <c r="BH36" s="19"/>
      <c r="BJ36" s="43"/>
      <c r="BK36" s="43"/>
      <c r="BL36" s="43"/>
      <c r="BM36" s="43"/>
      <c r="BN36" s="43"/>
      <c r="BP36" s="43"/>
      <c r="BQ36" s="43"/>
      <c r="BR36" s="43"/>
      <c r="BS36" s="43"/>
      <c r="BT36" s="43"/>
      <c r="BV36" s="51" t="e">
        <f t="shared" si="15"/>
        <v>#DIV/0!</v>
      </c>
      <c r="BW36" s="51" t="e">
        <f t="shared" si="16"/>
        <v>#DIV/0!</v>
      </c>
      <c r="BX36" s="51" t="e">
        <f t="shared" si="17"/>
        <v>#DIV/0!</v>
      </c>
      <c r="BY36" s="51" t="e">
        <f t="shared" si="18"/>
        <v>#DIV/0!</v>
      </c>
      <c r="BZ36" s="55"/>
      <c r="CA36" s="51"/>
      <c r="CC36" s="57"/>
    </row>
    <row r="37" spans="1:81" outlineLevel="1" x14ac:dyDescent="0.15">
      <c r="A37" s="46"/>
      <c r="B37" s="46" t="s">
        <v>29</v>
      </c>
      <c r="C37" s="3" t="s">
        <v>146</v>
      </c>
      <c r="D37" s="46">
        <v>333190689</v>
      </c>
      <c r="E37" s="3">
        <v>11</v>
      </c>
      <c r="F37" s="3">
        <v>32</v>
      </c>
      <c r="G37" s="3">
        <v>30</v>
      </c>
      <c r="I37" s="4" t="str">
        <f t="shared" si="0"/>
        <v>·</v>
      </c>
      <c r="J37" s="5" t="str">
        <f t="shared" si="1"/>
        <v>·</v>
      </c>
      <c r="K37" s="5" t="str">
        <f t="shared" si="2"/>
        <v>·</v>
      </c>
      <c r="L37" s="5" t="str">
        <f t="shared" si="3"/>
        <v>·</v>
      </c>
      <c r="M37" s="5" t="str">
        <f t="shared" si="4"/>
        <v>·</v>
      </c>
      <c r="N37" s="46" t="str">
        <f t="shared" si="5"/>
        <v/>
      </c>
      <c r="O37" s="5">
        <v>-12</v>
      </c>
      <c r="P37" s="6">
        <v>81688385</v>
      </c>
      <c r="Q37" s="6">
        <v>2552762.03125</v>
      </c>
      <c r="R37" s="6">
        <v>42067.1875</v>
      </c>
      <c r="S37" s="7"/>
      <c r="T37" s="7"/>
      <c r="U37" s="7"/>
      <c r="V37" s="7"/>
      <c r="W37" s="8"/>
      <c r="X37" s="8"/>
      <c r="Y37" s="8"/>
      <c r="Z37" s="8"/>
      <c r="AA37" s="8"/>
      <c r="AB37" s="9"/>
      <c r="AC37" s="9"/>
      <c r="AD37" s="9"/>
      <c r="AE37" s="9"/>
      <c r="AG37" s="4" t="str">
        <f t="shared" si="6"/>
        <v>·</v>
      </c>
      <c r="AH37" s="5" t="str">
        <f t="shared" si="7"/>
        <v>·</v>
      </c>
      <c r="AI37" s="5" t="str">
        <f t="shared" si="8"/>
        <v>·</v>
      </c>
      <c r="AJ37" s="5" t="str">
        <f t="shared" si="9"/>
        <v>·</v>
      </c>
      <c r="AK37" s="5" t="str">
        <f t="shared" si="10"/>
        <v>·</v>
      </c>
      <c r="AL37" s="46" t="str">
        <f t="shared" si="11"/>
        <v/>
      </c>
      <c r="AM37" s="5">
        <v>-12</v>
      </c>
      <c r="AN37" s="6"/>
      <c r="AO37" s="6"/>
      <c r="AP37" s="6"/>
      <c r="AQ37" s="7"/>
      <c r="AR37" s="7"/>
      <c r="AS37" s="7"/>
      <c r="AT37" s="7"/>
      <c r="AU37" s="8"/>
      <c r="AV37" s="8"/>
      <c r="AW37" s="8"/>
      <c r="AX37" s="8"/>
      <c r="AY37" s="8"/>
      <c r="AZ37" s="9"/>
      <c r="BA37" s="9"/>
      <c r="BB37" s="9"/>
      <c r="BC37" s="9"/>
      <c r="BE37" s="44" t="e">
        <f t="shared" si="12"/>
        <v>#VALUE!</v>
      </c>
      <c r="BF37" s="10" t="e">
        <f t="shared" si="13"/>
        <v>#DIV/0!</v>
      </c>
      <c r="BG37" s="10" t="e">
        <f t="shared" si="14"/>
        <v>#VALUE!</v>
      </c>
      <c r="BH37" s="10"/>
      <c r="BJ37" s="44"/>
      <c r="BK37" s="44"/>
      <c r="BL37" s="44"/>
      <c r="BM37" s="44"/>
      <c r="BN37" s="44"/>
      <c r="BP37" s="44"/>
      <c r="BQ37" s="44"/>
      <c r="BR37" s="44"/>
      <c r="BS37" s="44"/>
      <c r="BT37" s="44"/>
      <c r="BV37" s="51" t="e">
        <f t="shared" si="15"/>
        <v>#DIV/0!</v>
      </c>
      <c r="BW37" s="51" t="e">
        <f t="shared" si="16"/>
        <v>#DIV/0!</v>
      </c>
      <c r="BX37" s="51" t="e">
        <f t="shared" si="17"/>
        <v>#DIV/0!</v>
      </c>
      <c r="BY37" s="51" t="e">
        <f t="shared" si="18"/>
        <v>#DIV/0!</v>
      </c>
      <c r="BZ37" s="55"/>
      <c r="CA37" s="51"/>
      <c r="CC37" s="57"/>
    </row>
    <row r="38" spans="1:81" outlineLevel="1" x14ac:dyDescent="0.15">
      <c r="A38" s="11"/>
      <c r="B38" s="11" t="s">
        <v>29</v>
      </c>
      <c r="C38" s="12" t="s">
        <v>147</v>
      </c>
      <c r="D38" s="11">
        <v>333190689</v>
      </c>
      <c r="E38" s="12">
        <v>11</v>
      </c>
      <c r="F38" s="12">
        <v>32</v>
      </c>
      <c r="G38" s="12">
        <v>30</v>
      </c>
      <c r="I38" s="13" t="str">
        <f t="shared" si="0"/>
        <v>·</v>
      </c>
      <c r="J38" s="14" t="str">
        <f t="shared" si="1"/>
        <v>·</v>
      </c>
      <c r="K38" s="14" t="str">
        <f t="shared" si="2"/>
        <v>·</v>
      </c>
      <c r="L38" s="14" t="str">
        <f t="shared" si="3"/>
        <v>·</v>
      </c>
      <c r="M38" s="14" t="str">
        <f t="shared" si="4"/>
        <v>·</v>
      </c>
      <c r="N38" s="11" t="str">
        <f t="shared" si="5"/>
        <v/>
      </c>
      <c r="O38" s="14">
        <v>-12</v>
      </c>
      <c r="P38" s="15">
        <v>83757654</v>
      </c>
      <c r="Q38" s="15">
        <v>2617426.6875</v>
      </c>
      <c r="R38" s="15">
        <v>46922.8125</v>
      </c>
      <c r="S38" s="16"/>
      <c r="T38" s="16"/>
      <c r="U38" s="16"/>
      <c r="V38" s="16"/>
      <c r="W38" s="17"/>
      <c r="X38" s="17"/>
      <c r="Y38" s="17"/>
      <c r="Z38" s="17"/>
      <c r="AA38" s="17"/>
      <c r="AB38" s="18"/>
      <c r="AC38" s="18"/>
      <c r="AD38" s="18"/>
      <c r="AE38" s="18"/>
      <c r="AG38" s="13" t="str">
        <f t="shared" si="6"/>
        <v>·</v>
      </c>
      <c r="AH38" s="14" t="str">
        <f t="shared" si="7"/>
        <v>·</v>
      </c>
      <c r="AI38" s="14" t="str">
        <f t="shared" si="8"/>
        <v>·</v>
      </c>
      <c r="AJ38" s="14" t="str">
        <f t="shared" si="9"/>
        <v>·</v>
      </c>
      <c r="AK38" s="14" t="str">
        <f t="shared" si="10"/>
        <v>·</v>
      </c>
      <c r="AL38" s="11" t="str">
        <f t="shared" si="11"/>
        <v/>
      </c>
      <c r="AM38" s="14">
        <v>-12</v>
      </c>
      <c r="AN38" s="15"/>
      <c r="AO38" s="15"/>
      <c r="AP38" s="15"/>
      <c r="AQ38" s="16"/>
      <c r="AR38" s="16"/>
      <c r="AS38" s="16"/>
      <c r="AT38" s="16"/>
      <c r="AU38" s="17"/>
      <c r="AV38" s="17"/>
      <c r="AW38" s="17"/>
      <c r="AX38" s="17"/>
      <c r="AY38" s="17"/>
      <c r="AZ38" s="18"/>
      <c r="BA38" s="18"/>
      <c r="BB38" s="18"/>
      <c r="BC38" s="18"/>
      <c r="BE38" s="43" t="e">
        <f t="shared" si="12"/>
        <v>#VALUE!</v>
      </c>
      <c r="BF38" s="19" t="e">
        <f t="shared" si="13"/>
        <v>#DIV/0!</v>
      </c>
      <c r="BG38" s="19" t="e">
        <f t="shared" si="14"/>
        <v>#VALUE!</v>
      </c>
      <c r="BH38" s="19"/>
      <c r="BJ38" s="43"/>
      <c r="BK38" s="43"/>
      <c r="BL38" s="43"/>
      <c r="BM38" s="43"/>
      <c r="BN38" s="43"/>
      <c r="BP38" s="43"/>
      <c r="BQ38" s="43"/>
      <c r="BR38" s="43"/>
      <c r="BS38" s="43"/>
      <c r="BT38" s="43"/>
      <c r="BV38" s="51" t="e">
        <f t="shared" si="15"/>
        <v>#DIV/0!</v>
      </c>
      <c r="BW38" s="51" t="e">
        <f t="shared" si="16"/>
        <v>#DIV/0!</v>
      </c>
      <c r="BX38" s="51" t="e">
        <f t="shared" si="17"/>
        <v>#DIV/0!</v>
      </c>
      <c r="BY38" s="51" t="e">
        <f t="shared" si="18"/>
        <v>#DIV/0!</v>
      </c>
      <c r="BZ38" s="54"/>
      <c r="CC38" s="57"/>
    </row>
    <row r="39" spans="1:81" ht="14.25" outlineLevel="1" thickBot="1" x14ac:dyDescent="0.2">
      <c r="A39" s="20"/>
      <c r="B39" s="20" t="s">
        <v>29</v>
      </c>
      <c r="C39" s="21" t="s">
        <v>148</v>
      </c>
      <c r="D39" s="20">
        <v>333190689</v>
      </c>
      <c r="E39" s="21">
        <v>11</v>
      </c>
      <c r="F39" s="21">
        <v>32</v>
      </c>
      <c r="G39" s="21">
        <v>30</v>
      </c>
      <c r="I39" s="22" t="str">
        <f t="shared" si="0"/>
        <v>·</v>
      </c>
      <c r="J39" s="23" t="str">
        <f t="shared" si="1"/>
        <v>·</v>
      </c>
      <c r="K39" s="23" t="str">
        <f t="shared" si="2"/>
        <v>·</v>
      </c>
      <c r="L39" s="23" t="str">
        <f t="shared" si="3"/>
        <v>·</v>
      </c>
      <c r="M39" s="23" t="str">
        <f t="shared" si="4"/>
        <v>·</v>
      </c>
      <c r="N39" s="20" t="str">
        <f t="shared" si="5"/>
        <v/>
      </c>
      <c r="O39" s="23">
        <v>-12</v>
      </c>
      <c r="P39" s="24">
        <v>81959857</v>
      </c>
      <c r="Q39" s="24">
        <v>2561245.53125</v>
      </c>
      <c r="R39" s="24">
        <v>18607.15625</v>
      </c>
      <c r="S39" s="25"/>
      <c r="T39" s="25"/>
      <c r="U39" s="25"/>
      <c r="V39" s="25"/>
      <c r="W39" s="26"/>
      <c r="X39" s="26"/>
      <c r="Y39" s="26"/>
      <c r="Z39" s="26"/>
      <c r="AA39" s="26"/>
      <c r="AB39" s="27"/>
      <c r="AC39" s="27"/>
      <c r="AD39" s="27"/>
      <c r="AE39" s="27"/>
      <c r="AG39" s="22" t="str">
        <f t="shared" si="6"/>
        <v>·</v>
      </c>
      <c r="AH39" s="23" t="str">
        <f t="shared" si="7"/>
        <v>·</v>
      </c>
      <c r="AI39" s="23" t="str">
        <f t="shared" si="8"/>
        <v>·</v>
      </c>
      <c r="AJ39" s="23" t="str">
        <f t="shared" si="9"/>
        <v>·</v>
      </c>
      <c r="AK39" s="23" t="str">
        <f t="shared" si="10"/>
        <v>·</v>
      </c>
      <c r="AL39" s="20" t="str">
        <f t="shared" si="11"/>
        <v/>
      </c>
      <c r="AM39" s="23">
        <v>-12</v>
      </c>
      <c r="AN39" s="24"/>
      <c r="AO39" s="24"/>
      <c r="AP39" s="24"/>
      <c r="AQ39" s="25"/>
      <c r="AR39" s="25"/>
      <c r="AS39" s="25"/>
      <c r="AT39" s="25"/>
      <c r="AU39" s="26"/>
      <c r="AV39" s="26"/>
      <c r="AW39" s="26"/>
      <c r="AX39" s="26"/>
      <c r="AY39" s="26"/>
      <c r="AZ39" s="27"/>
      <c r="BA39" s="27"/>
      <c r="BB39" s="27"/>
      <c r="BC39" s="27"/>
      <c r="BE39" s="28" t="e">
        <f t="shared" si="12"/>
        <v>#VALUE!</v>
      </c>
      <c r="BF39" s="29" t="e">
        <f t="shared" si="13"/>
        <v>#DIV/0!</v>
      </c>
      <c r="BG39" s="29" t="e">
        <f t="shared" si="14"/>
        <v>#VALUE!</v>
      </c>
      <c r="BH39" s="29"/>
      <c r="BJ39" s="28"/>
      <c r="BK39" s="28"/>
      <c r="BL39" s="28"/>
      <c r="BM39" s="28"/>
      <c r="BN39" s="28"/>
      <c r="BP39" s="28"/>
      <c r="BQ39" s="28"/>
      <c r="BR39" s="28"/>
      <c r="BS39" s="28"/>
      <c r="BT39" s="28"/>
      <c r="BV39" s="52" t="e">
        <f t="shared" si="15"/>
        <v>#DIV/0!</v>
      </c>
      <c r="BW39" s="52" t="e">
        <f t="shared" si="16"/>
        <v>#DIV/0!</v>
      </c>
      <c r="BX39" s="52" t="e">
        <f t="shared" si="17"/>
        <v>#DIV/0!</v>
      </c>
      <c r="BY39" s="52" t="e">
        <f t="shared" si="18"/>
        <v>#DIV/0!</v>
      </c>
      <c r="BZ39" s="54"/>
      <c r="CC39" s="57"/>
    </row>
    <row r="40" spans="1:81" x14ac:dyDescent="0.15">
      <c r="B40" s="40" t="s">
        <v>9</v>
      </c>
      <c r="J40" s="41">
        <f>AVERAGE(J5:J24)</f>
        <v>4.4208546081002734E-2</v>
      </c>
      <c r="K40" s="41">
        <f>AVERAGE(K5:K24)</f>
        <v>1.3836094495758086E-2</v>
      </c>
      <c r="L40" s="41">
        <f>AVERAGE(L5:L24)</f>
        <v>9.6969495541967075E-3</v>
      </c>
      <c r="M40" s="41">
        <f>AVERAGE(M5:M24)</f>
        <v>3.0372451585244636E-2</v>
      </c>
      <c r="AH40" s="41">
        <f>AVERAGE(AH5:AH24)</f>
        <v>4.4197428097540944E-2</v>
      </c>
      <c r="AI40" s="41">
        <f>AVERAGE(AI5:AI24)</f>
        <v>1.3838096943676378E-2</v>
      </c>
      <c r="AJ40" s="41">
        <f>AVERAGE(AJ5:AJ24)</f>
        <v>9.6989520021150029E-3</v>
      </c>
      <c r="AK40" s="41">
        <f>AVERAGE(AK5:AK24)</f>
        <v>3.035933115386456E-2</v>
      </c>
      <c r="BE40" s="45">
        <f t="shared" si="12"/>
        <v>1.0001447263835113</v>
      </c>
      <c r="BH40" s="47">
        <f>AVERAGE(BH5:BH24)</f>
        <v>1.8512554425238748E-4</v>
      </c>
      <c r="BJ40" s="45">
        <f>AVERAGE(BJ5:BJ24)</f>
        <v>3.5248104020857429E-4</v>
      </c>
      <c r="BK40" s="45">
        <f>AVERAGE(BK5:BK24)</f>
        <v>9.6493344391979097E-4</v>
      </c>
      <c r="BL40" s="45">
        <f>AVERAGE(BL5:BL24)</f>
        <v>1.6501611238995129E-3</v>
      </c>
      <c r="BM40" s="45">
        <f>AVERAGE(BM5:BM24)</f>
        <v>-1.9037380513128033E-3</v>
      </c>
      <c r="BN40" s="45">
        <f>AVERAGE(BN5:BN24)</f>
        <v>-1.0826926620038646E-3</v>
      </c>
      <c r="BP40" s="45">
        <f>AVERAGE(BP5:BP24)</f>
        <v>2.1126101627041982E-4</v>
      </c>
      <c r="BQ40" s="45">
        <f>AVERAGE(BQ5:BQ24)</f>
        <v>1.2391178473913356E-3</v>
      </c>
      <c r="BR40" s="45">
        <f>AVERAGE(BR5:BR24)</f>
        <v>1.1989490380354684E-3</v>
      </c>
      <c r="BS40" s="45">
        <f>AVERAGE(BS5:BS24)</f>
        <v>-1.2212825648967585E-3</v>
      </c>
      <c r="BT40" s="45">
        <f>AVERAGE(BT5:BT24)</f>
        <v>-8.2134449091750272E-4</v>
      </c>
      <c r="BV40" s="51">
        <f>AVERAGE(BV5:BV29)</f>
        <v>0.5080636949813635</v>
      </c>
      <c r="BW40" s="51">
        <f>AVERAGE(BW5:BW29)</f>
        <v>0.51529914841036972</v>
      </c>
      <c r="BX40" s="51">
        <f>AVERAGE(BX5:BX29)</f>
        <v>0.30977026283427445</v>
      </c>
      <c r="BY40" s="60">
        <f>AVERAGE(BV40:BW40)</f>
        <v>0.51168142169586661</v>
      </c>
      <c r="BZ40" s="54"/>
      <c r="CB40" s="51"/>
      <c r="CC40" s="58"/>
    </row>
    <row r="41" spans="1:81" x14ac:dyDescent="0.15">
      <c r="B41" s="40" t="s">
        <v>10</v>
      </c>
      <c r="J41" s="41">
        <f>AVERAGE(J25:J29)</f>
        <v>7.9821412994069529E-2</v>
      </c>
      <c r="K41" s="41">
        <f>AVERAGE(K25:K29)</f>
        <v>1.2343170896124311E-2</v>
      </c>
      <c r="L41" s="41">
        <f>AVERAGE(L25:L29)</f>
        <v>9.0938284872662568E-3</v>
      </c>
      <c r="M41" s="41">
        <f>AVERAGE(M25:M29)</f>
        <v>6.7478242097945215E-2</v>
      </c>
      <c r="AH41" s="41">
        <f>AVERAGE(AH25:AH29)</f>
        <v>7.9807886532677716E-2</v>
      </c>
      <c r="AI41" s="41">
        <f>AVERAGE(AI25:AI29)</f>
        <v>1.2338798448302008E-2</v>
      </c>
      <c r="AJ41" s="41">
        <f>AVERAGE(AJ25:AJ29)</f>
        <v>9.0894560394439543E-3</v>
      </c>
      <c r="AK41" s="41">
        <f>AVERAGE(AK25:AK29)</f>
        <v>6.7469088084375711E-2</v>
      </c>
      <c r="BE41" s="45">
        <f t="shared" si="12"/>
        <v>0.99964575975986236</v>
      </c>
      <c r="BH41" s="47">
        <f>AVERAGE(BH25:BH29)</f>
        <v>-9.8196257347638038E-8</v>
      </c>
      <c r="BJ41" s="45">
        <f>AVERAGE(BJ25:BJ29)</f>
        <v>7.451348718099382E-4</v>
      </c>
      <c r="BK41" s="45">
        <f>AVERAGE(BK25:BK29)</f>
        <v>9.2026828195335142E-4</v>
      </c>
      <c r="BL41" s="45">
        <f>AVERAGE(BL25:BL29)</f>
        <v>6.6063084868495103E-4</v>
      </c>
      <c r="BM41" s="45">
        <f>AVERAGE(BM25:BM29)</f>
        <v>2.2080963348902749E-4</v>
      </c>
      <c r="BN41" s="45">
        <f>AVERAGE(BN25:BN29)</f>
        <v>5.3055984575101078E-4</v>
      </c>
      <c r="BP41" s="45">
        <f>AVERAGE(BP25:BP29)</f>
        <v>2.4932999852760318E-3</v>
      </c>
      <c r="BQ41" s="45">
        <f>AVERAGE(BQ25:BQ29)</f>
        <v>2.939495417954241E-3</v>
      </c>
      <c r="BR41" s="45">
        <f>AVERAGE(BR25:BR29)</f>
        <v>5.226982173560657E-4</v>
      </c>
      <c r="BS41" s="45">
        <f>AVERAGE(BS25:BS29)</f>
        <v>1.0402093439743076E-4</v>
      </c>
      <c r="BT41" s="45">
        <f>AVERAGE(BT25:BT29)</f>
        <v>4.3325453478160192E-4</v>
      </c>
    </row>
    <row r="42" spans="1:81" x14ac:dyDescent="0.15">
      <c r="B42" s="40" t="s">
        <v>11</v>
      </c>
      <c r="J42" s="41" t="e">
        <f>AVERAGE(J30:J39)</f>
        <v>#DIV/0!</v>
      </c>
      <c r="K42" s="41" t="e">
        <f>AVERAGE(K30:K39)</f>
        <v>#DIV/0!</v>
      </c>
      <c r="L42" s="41" t="e">
        <f>AVERAGE(L30:L39)</f>
        <v>#DIV/0!</v>
      </c>
      <c r="M42" s="41" t="e">
        <f>AVERAGE(M30:M39)</f>
        <v>#DIV/0!</v>
      </c>
      <c r="AH42" s="41" t="e">
        <f>AVERAGE(AH30:AH39)</f>
        <v>#DIV/0!</v>
      </c>
      <c r="AI42" s="41" t="e">
        <f>AVERAGE(AI30:AI39)</f>
        <v>#DIV/0!</v>
      </c>
      <c r="AJ42" s="41" t="e">
        <f>AVERAGE(AJ30:AJ39)</f>
        <v>#DIV/0!</v>
      </c>
      <c r="AK42" s="41" t="e">
        <f>AVERAGE(AK30:AK39)</f>
        <v>#DIV/0!</v>
      </c>
      <c r="BE42" s="45" t="e">
        <f t="shared" si="12"/>
        <v>#DIV/0!</v>
      </c>
      <c r="BH42" s="47" t="e">
        <f>AVERAGE(BH30:BH39)</f>
        <v>#VALUE!</v>
      </c>
      <c r="BJ42" s="45" t="e">
        <f>AVERAGE(BJ30:BJ39)</f>
        <v>#DIV/0!</v>
      </c>
      <c r="BK42" s="45" t="e">
        <f>AVERAGE(BK30:BK39)</f>
        <v>#DIV/0!</v>
      </c>
      <c r="BL42" s="45" t="e">
        <f>AVERAGE(BL30:BL39)</f>
        <v>#DIV/0!</v>
      </c>
      <c r="BM42" s="45" t="e">
        <f>AVERAGE(BM30:BM39)</f>
        <v>#DIV/0!</v>
      </c>
      <c r="BN42" s="45" t="e">
        <f>AVERAGE(BN30:BN39)</f>
        <v>#DIV/0!</v>
      </c>
      <c r="BP42" s="45" t="e">
        <f>AVERAGE(BP30:BP39)</f>
        <v>#DIV/0!</v>
      </c>
      <c r="BQ42" s="45" t="e">
        <f>AVERAGE(BQ30:BQ39)</f>
        <v>#DIV/0!</v>
      </c>
      <c r="BR42" s="45" t="e">
        <f>AVERAGE(BR30:BR39)</f>
        <v>#DIV/0!</v>
      </c>
      <c r="BS42" s="45" t="e">
        <f>AVERAGE(BS30:BS39)</f>
        <v>#DIV/0!</v>
      </c>
      <c r="BT42" s="45" t="e">
        <f>AVERAGE(BT30:BT39)</f>
        <v>#DIV/0!</v>
      </c>
    </row>
    <row r="43" spans="1:81" x14ac:dyDescent="0.15">
      <c r="B43" s="40" t="s">
        <v>12</v>
      </c>
      <c r="J43" s="41">
        <f>AVERAGE(J5:J39)</f>
        <v>5.1331119463616091E-2</v>
      </c>
      <c r="K43" s="41">
        <f>AVERAGE(K5:K39)</f>
        <v>1.3537509775831333E-2</v>
      </c>
      <c r="L43" s="41">
        <f>AVERAGE(L5:L39)</f>
        <v>9.5763253408106177E-3</v>
      </c>
      <c r="M43" s="41">
        <f>AVERAGE(M5:M39)</f>
        <v>3.7793609687784752E-2</v>
      </c>
      <c r="AH43" s="41">
        <f>AVERAGE(AH5:AH39)</f>
        <v>5.1319519784568293E-2</v>
      </c>
      <c r="AI43" s="41">
        <f>AVERAGE(AI5:AI39)</f>
        <v>1.35382372446015E-2</v>
      </c>
      <c r="AJ43" s="41">
        <f>AVERAGE(AJ5:AJ39)</f>
        <v>9.5770528095807939E-3</v>
      </c>
      <c r="AK43" s="41">
        <f>AVERAGE(AK5:AK39)</f>
        <v>3.7781282539966786E-2</v>
      </c>
      <c r="BE43" s="45">
        <f t="shared" si="12"/>
        <v>1.0000537372664702</v>
      </c>
      <c r="BH43" s="47" t="e">
        <f>AVERAGE(BH5:BH39)</f>
        <v>#VALUE!</v>
      </c>
      <c r="BJ43" s="45">
        <f>AVERAGE(BJ5:BJ39)</f>
        <v>4.310118065288471E-4</v>
      </c>
      <c r="BK43" s="45">
        <f>AVERAGE(BK5:BK39)</f>
        <v>9.5600041152650301E-4</v>
      </c>
      <c r="BL43" s="45">
        <f>AVERAGE(BL5:BL39)</f>
        <v>1.4522550688566005E-3</v>
      </c>
      <c r="BM43" s="45">
        <f>AVERAGE(BM5:BM39)</f>
        <v>-1.4788285143524371E-3</v>
      </c>
      <c r="BN43" s="45">
        <f>AVERAGE(BN5:BN39)</f>
        <v>-7.6004216045288953E-4</v>
      </c>
      <c r="BP43" s="45">
        <f>AVERAGE(BP5:BP39)</f>
        <v>6.6766881007154224E-4</v>
      </c>
      <c r="BQ43" s="45">
        <f>AVERAGE(BQ5:BQ39)</f>
        <v>1.5791933615039166E-3</v>
      </c>
      <c r="BR43" s="45">
        <f>AVERAGE(BR5:BR39)</f>
        <v>1.0636988738995878E-3</v>
      </c>
      <c r="BS43" s="45">
        <f>AVERAGE(BS5:BS39)</f>
        <v>-9.5622186503792057E-4</v>
      </c>
      <c r="BT43" s="45">
        <f>AVERAGE(BT5:BT39)</f>
        <v>-5.7042468577768175E-4</v>
      </c>
      <c r="BV43" s="51" t="e">
        <f>AVERAGE(BV5:BV39)</f>
        <v>#DIV/0!</v>
      </c>
      <c r="BW43" s="51" t="e">
        <f>AVERAGE(BW5:BW39)</f>
        <v>#DIV/0!</v>
      </c>
      <c r="BX43" s="51" t="e">
        <f t="shared" ref="BX43" si="27">AVERAGE(BX8:BX32)</f>
        <v>#DIV/0!</v>
      </c>
      <c r="BY43" s="51" t="e">
        <f>AVERAGE(BV43:BW43)</f>
        <v>#DIV/0!</v>
      </c>
      <c r="BZ43" s="51"/>
      <c r="CA43" s="51"/>
    </row>
    <row r="44" spans="1:81" hidden="1" outlineLevel="2" x14ac:dyDescent="0.15">
      <c r="A44" s="40" t="s">
        <v>151</v>
      </c>
      <c r="B44" s="40" t="s">
        <v>152</v>
      </c>
      <c r="AB44" s="42">
        <f>SUM(AB5:AB24,AB25:AB29,AB30:AB39)</f>
        <v>13583.588</v>
      </c>
      <c r="AC44" s="42">
        <f>SUM(AC5:AC24,AC25:AC29,AC30:AC39)</f>
        <v>12281.821999999998</v>
      </c>
      <c r="AD44" s="42">
        <f>SUM(AD5:AD24,AD25:AD29,AD30:AD39)</f>
        <v>42747.12999999999</v>
      </c>
      <c r="AE44" s="42">
        <f>SUM(AE5:AE24,AE25:AE29,AE30:AE39)</f>
        <v>256.86500000000001</v>
      </c>
      <c r="AZ44" s="42">
        <f>SUM(AZ5:AZ24,AZ25:AZ29,AZ30:AZ39)</f>
        <v>6901.4289999999992</v>
      </c>
      <c r="BA44" s="42">
        <f>SUM(BA5:BA24,BA25:BA29,BA30:BA39)</f>
        <v>6200.3129999999992</v>
      </c>
      <c r="BB44" s="42">
        <f>SUM(BB5:BB24,BB25:BB29,BB30:BB39)</f>
        <v>29924.716</v>
      </c>
      <c r="BC44" s="42">
        <f>SUM(BC5:BC24,BC25:BC29,BC30:BC39)</f>
        <v>255.381</v>
      </c>
    </row>
    <row r="45" spans="1:81" hidden="1" outlineLevel="2" x14ac:dyDescent="0.15">
      <c r="B45" s="40" t="s">
        <v>153</v>
      </c>
      <c r="AZ45" s="47">
        <f>AZ44/AB44</f>
        <v>0.50807113702211815</v>
      </c>
      <c r="BA45" s="47">
        <f>BA44/AC44</f>
        <v>0.50483657880728117</v>
      </c>
      <c r="BB45" s="47">
        <f>BB44/AD44</f>
        <v>0.70004035358631111</v>
      </c>
      <c r="BC45" s="47">
        <f>BC44/AE44</f>
        <v>0.99422264613707589</v>
      </c>
    </row>
    <row r="46" spans="1:81" ht="27" hidden="1" outlineLevel="2" x14ac:dyDescent="0.15">
      <c r="B46" s="40" t="s">
        <v>154</v>
      </c>
      <c r="AB46" s="42">
        <f>GEOMEAN(AB5:AB24,AB25:AB29,AB30:AB39)</f>
        <v>539.64837334668141</v>
      </c>
      <c r="AC46" s="42">
        <f>GEOMEAN(AC5:AC24,AC25:AC29,AC30:AC39)</f>
        <v>485.97404488690677</v>
      </c>
      <c r="AD46" s="42">
        <f>GEOMEAN(AD5:AD24,AD25:AD29,AD30:AD39)</f>
        <v>1693.5332530839414</v>
      </c>
      <c r="AE46" s="42">
        <f>GEOMEAN(AE5:AE24,AE25:AE29,AE30:AE39)</f>
        <v>10.267166311101912</v>
      </c>
      <c r="AZ46" s="42">
        <f>GEOMEAN(AZ5:AZ24,AZ25:AZ29,AZ30:AZ39)</f>
        <v>251.78351831085976</v>
      </c>
      <c r="BA46" s="42">
        <f>GEOMEAN(BA5:BA24,BA25:BA29,BA30:BA39)</f>
        <v>224.51371051411866</v>
      </c>
      <c r="BB46" s="42">
        <f>GEOMEAN(BB5:BB24,BB25:BB29,BB30:BB39)</f>
        <v>1159.3301548485545</v>
      </c>
      <c r="BC46" s="42">
        <f>GEOMEAN(BC5:BC24,BC25:BC29,BC30:BC39)</f>
        <v>10.208342103980078</v>
      </c>
    </row>
    <row r="47" spans="1:81" ht="27" outlineLevel="2" collapsed="1" x14ac:dyDescent="0.15">
      <c r="B47" s="40" t="s">
        <v>155</v>
      </c>
      <c r="AZ47" s="47">
        <f>AZ46/AB46</f>
        <v>0.46656958632044049</v>
      </c>
      <c r="BA47" s="47">
        <f>BA46/AC46</f>
        <v>0.46198703999997831</v>
      </c>
      <c r="BB47" s="47">
        <f>BB46/AD46</f>
        <v>0.68456297078159067</v>
      </c>
      <c r="BC47" s="47">
        <f>BC46/AE46</f>
        <v>0.99427064826463096</v>
      </c>
    </row>
  </sheetData>
  <mergeCells count="45">
    <mergeCell ref="Q2:Q3"/>
    <mergeCell ref="A1:G1"/>
    <mergeCell ref="I1:AE1"/>
    <mergeCell ref="AG1:BC1"/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AO2:AO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BL2:BN2"/>
    <mergeCell ref="AP2:AP3"/>
    <mergeCell ref="AQ2:AT2"/>
    <mergeCell ref="AU2:AV2"/>
    <mergeCell ref="AW2:AY2"/>
    <mergeCell ref="AZ2:BA2"/>
    <mergeCell ref="BB2:BC2"/>
    <mergeCell ref="BE2:BE3"/>
    <mergeCell ref="BF2:BF3"/>
    <mergeCell ref="BG2:BG3"/>
    <mergeCell ref="BH2:BH3"/>
    <mergeCell ref="BJ2:BK2"/>
    <mergeCell ref="BP2:BQ2"/>
    <mergeCell ref="BR2:BT2"/>
    <mergeCell ref="BV2:BY2"/>
    <mergeCell ref="CD2:CF2"/>
    <mergeCell ref="BZ2:CC2"/>
  </mergeCells>
  <phoneticPr fontId="2" type="noConversion"/>
  <conditionalFormatting sqref="BE5:BE43">
    <cfRule type="cellIs" dxfId="175" priority="1" operator="greaterThanOrEqual">
      <formula>1.03</formula>
    </cfRule>
    <cfRule type="cellIs" dxfId="174" priority="2" operator="lessThanOrEqual">
      <formula>0.97</formula>
    </cfRule>
  </conditionalFormatting>
  <conditionalFormatting sqref="BJ5:BJ43">
    <cfRule type="cellIs" dxfId="173" priority="21" operator="greaterThanOrEqual">
      <formula>0.03</formula>
    </cfRule>
    <cfRule type="cellIs" dxfId="172" priority="22" operator="lessThanOrEqual">
      <formula>-0.03</formula>
    </cfRule>
  </conditionalFormatting>
  <conditionalFormatting sqref="BK5:BK43">
    <cfRule type="cellIs" dxfId="171" priority="19" operator="greaterThanOrEqual">
      <formula>0.03</formula>
    </cfRule>
    <cfRule type="cellIs" dxfId="170" priority="20" operator="lessThanOrEqual">
      <formula>-0.03</formula>
    </cfRule>
  </conditionalFormatting>
  <conditionalFormatting sqref="BL5:BL43">
    <cfRule type="cellIs" dxfId="169" priority="5" operator="greaterThanOrEqual">
      <formula>0.03</formula>
    </cfRule>
    <cfRule type="cellIs" dxfId="168" priority="6" operator="lessThanOrEqual">
      <formula>-0.03</formula>
    </cfRule>
  </conditionalFormatting>
  <conditionalFormatting sqref="BM5:BM43">
    <cfRule type="cellIs" dxfId="167" priority="9" operator="greaterThanOrEqual">
      <formula>0.03</formula>
    </cfRule>
    <cfRule type="cellIs" dxfId="166" priority="10" operator="lessThanOrEqual">
      <formula>-0.03</formula>
    </cfRule>
  </conditionalFormatting>
  <conditionalFormatting sqref="BN5:BN43">
    <cfRule type="cellIs" dxfId="165" priority="11" operator="greaterThanOrEqual">
      <formula>0.03</formula>
    </cfRule>
    <cfRule type="cellIs" dxfId="164" priority="12" operator="lessThanOrEqual">
      <formula>-0.03</formula>
    </cfRule>
  </conditionalFormatting>
  <conditionalFormatting sqref="BP5:BP43">
    <cfRule type="cellIs" dxfId="163" priority="7" operator="greaterThanOrEqual">
      <formula>0.03</formula>
    </cfRule>
    <cfRule type="cellIs" dxfId="162" priority="8" operator="lessThanOrEqual">
      <formula>-0.03</formula>
    </cfRule>
  </conditionalFormatting>
  <conditionalFormatting sqref="BQ5:BQ43">
    <cfRule type="cellIs" dxfId="161" priority="13" operator="greaterThanOrEqual">
      <formula>0.03</formula>
    </cfRule>
    <cfRule type="cellIs" dxfId="160" priority="14" operator="lessThanOrEqual">
      <formula>-0.03</formula>
    </cfRule>
  </conditionalFormatting>
  <conditionalFormatting sqref="BR5:BR43">
    <cfRule type="cellIs" dxfId="159" priority="3" operator="greaterThanOrEqual">
      <formula>0.03</formula>
    </cfRule>
    <cfRule type="cellIs" dxfId="158" priority="4" operator="lessThanOrEqual">
      <formula>-0.03</formula>
    </cfRule>
  </conditionalFormatting>
  <conditionalFormatting sqref="BS5:BS43">
    <cfRule type="cellIs" dxfId="157" priority="15" operator="greaterThanOrEqual">
      <formula>0.03</formula>
    </cfRule>
    <cfRule type="cellIs" dxfId="156" priority="16" operator="lessThanOrEqual">
      <formula>-0.03</formula>
    </cfRule>
  </conditionalFormatting>
  <conditionalFormatting sqref="BT5:BT43">
    <cfRule type="cellIs" dxfId="155" priority="17" operator="greaterThanOrEqual">
      <formula>0.03</formula>
    </cfRule>
    <cfRule type="cellIs" dxfId="154" priority="1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BA002-9B84-499D-B728-768493DE8D8B}">
  <sheetPr>
    <outlinePr summaryBelow="0"/>
  </sheetPr>
  <dimension ref="A1:CF47"/>
  <sheetViews>
    <sheetView zoomScale="85" zoomScaleNormal="85" workbookViewId="0">
      <pane xSplit="2" ySplit="4" topLeftCell="BH5" activePane="bottomRight" state="frozen"/>
      <selection pane="topRight" activeCell="C1" sqref="C1"/>
      <selection pane="bottomLeft" activeCell="A5" sqref="A5"/>
      <selection pane="bottomRight" activeCell="CA33" sqref="CA33"/>
    </sheetView>
  </sheetViews>
  <sheetFormatPr defaultRowHeight="13.5" outlineLevelRow="2" x14ac:dyDescent="0.15"/>
  <cols>
    <col min="2" max="2" width="24.75" customWidth="1"/>
    <col min="4" max="5" width="10.75" customWidth="1"/>
    <col min="8" max="8" width="1.75" customWidth="1"/>
    <col min="10" max="13" width="10.75" customWidth="1"/>
    <col min="14" max="14" width="24.75" hidden="1" customWidth="1"/>
    <col min="15" max="15" width="12.75" customWidth="1"/>
    <col min="16" max="16" width="10.75" customWidth="1"/>
    <col min="19" max="22" width="12.75" customWidth="1"/>
    <col min="23" max="27" width="11.75" customWidth="1"/>
    <col min="32" max="32" width="1.75" customWidth="1"/>
    <col min="34" max="37" width="10.75" customWidth="1"/>
    <col min="38" max="38" width="24.75" hidden="1" customWidth="1"/>
    <col min="39" max="39" width="12.75" customWidth="1"/>
    <col min="40" max="40" width="10.75" customWidth="1"/>
    <col min="43" max="46" width="12.75" customWidth="1"/>
    <col min="47" max="51" width="11.75" customWidth="1"/>
    <col min="56" max="56" width="1.75" customWidth="1"/>
    <col min="61" max="61" width="1.75" customWidth="1"/>
    <col min="64" max="66" width="11.75" customWidth="1"/>
    <col min="67" max="67" width="1.75" customWidth="1"/>
    <col min="70" max="72" width="11.75" customWidth="1"/>
    <col min="73" max="73" width="1.75" customWidth="1"/>
    <col min="74" max="74" width="10.75" bestFit="1" customWidth="1"/>
    <col min="75" max="75" width="12" bestFit="1" customWidth="1"/>
    <col min="76" max="76" width="10.625" customWidth="1"/>
    <col min="77" max="79" width="11.25" customWidth="1"/>
    <col min="82" max="84" width="9" style="51"/>
  </cols>
  <sheetData>
    <row r="1" spans="1:84" x14ac:dyDescent="0.15">
      <c r="A1" s="70" t="s">
        <v>50</v>
      </c>
      <c r="B1" s="62"/>
      <c r="C1" s="62"/>
      <c r="D1" s="62"/>
      <c r="E1" s="62"/>
      <c r="F1" s="62"/>
      <c r="G1" s="62"/>
      <c r="I1" s="71" t="e">
        <f>#REF!</f>
        <v>#REF!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G1" s="72" t="e">
        <f>#REF!</f>
        <v>#REF!</v>
      </c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</row>
    <row r="2" spans="1:84" ht="30" customHeight="1" thickBot="1" x14ac:dyDescent="0.2">
      <c r="A2" s="69" t="s">
        <v>51</v>
      </c>
      <c r="B2" s="67" t="s">
        <v>52</v>
      </c>
      <c r="C2" s="69" t="s">
        <v>53</v>
      </c>
      <c r="D2" s="67" t="s">
        <v>54</v>
      </c>
      <c r="E2" s="69" t="s">
        <v>55</v>
      </c>
      <c r="F2" s="67" t="s">
        <v>56</v>
      </c>
      <c r="G2" s="69" t="s">
        <v>57</v>
      </c>
      <c r="I2" s="67" t="s">
        <v>58</v>
      </c>
      <c r="J2" s="63" t="s">
        <v>59</v>
      </c>
      <c r="K2" s="62"/>
      <c r="L2" s="62"/>
      <c r="M2" s="62"/>
      <c r="N2" s="69" t="s">
        <v>60</v>
      </c>
      <c r="O2" s="67" t="s">
        <v>61</v>
      </c>
      <c r="P2" s="69" t="s">
        <v>33</v>
      </c>
      <c r="Q2" s="67" t="s">
        <v>35</v>
      </c>
      <c r="R2" s="69" t="s">
        <v>31</v>
      </c>
      <c r="S2" s="61" t="s">
        <v>62</v>
      </c>
      <c r="T2" s="62"/>
      <c r="U2" s="62"/>
      <c r="V2" s="62"/>
      <c r="W2" s="63" t="s">
        <v>63</v>
      </c>
      <c r="X2" s="62"/>
      <c r="Y2" s="61" t="s">
        <v>64</v>
      </c>
      <c r="Z2" s="62"/>
      <c r="AA2" s="62"/>
      <c r="AB2" s="63" t="s">
        <v>65</v>
      </c>
      <c r="AC2" s="62"/>
      <c r="AD2" s="61" t="s">
        <v>66</v>
      </c>
      <c r="AE2" s="62"/>
      <c r="AG2" s="69" t="s">
        <v>58</v>
      </c>
      <c r="AH2" s="61" t="s">
        <v>59</v>
      </c>
      <c r="AI2" s="62"/>
      <c r="AJ2" s="62"/>
      <c r="AK2" s="62"/>
      <c r="AL2" s="67" t="s">
        <v>67</v>
      </c>
      <c r="AM2" s="69" t="s">
        <v>61</v>
      </c>
      <c r="AN2" s="67" t="s">
        <v>33</v>
      </c>
      <c r="AO2" s="69" t="s">
        <v>35</v>
      </c>
      <c r="AP2" s="67" t="s">
        <v>31</v>
      </c>
      <c r="AQ2" s="63" t="s">
        <v>62</v>
      </c>
      <c r="AR2" s="62"/>
      <c r="AS2" s="62"/>
      <c r="AT2" s="62"/>
      <c r="AU2" s="61" t="s">
        <v>63</v>
      </c>
      <c r="AV2" s="62"/>
      <c r="AW2" s="63" t="s">
        <v>64</v>
      </c>
      <c r="AX2" s="62"/>
      <c r="AY2" s="62"/>
      <c r="AZ2" s="61" t="s">
        <v>65</v>
      </c>
      <c r="BA2" s="62"/>
      <c r="BB2" s="63" t="s">
        <v>66</v>
      </c>
      <c r="BC2" s="62"/>
      <c r="BE2" s="67" t="s">
        <v>68</v>
      </c>
      <c r="BF2" s="69" t="s">
        <v>69</v>
      </c>
      <c r="BG2" s="67" t="s">
        <v>70</v>
      </c>
      <c r="BH2" s="69" t="s">
        <v>70</v>
      </c>
      <c r="BJ2" s="61" t="s">
        <v>0</v>
      </c>
      <c r="BK2" s="62"/>
      <c r="BL2" s="63" t="s">
        <v>1</v>
      </c>
      <c r="BM2" s="62"/>
      <c r="BN2" s="62"/>
      <c r="BP2" s="61" t="s">
        <v>2</v>
      </c>
      <c r="BQ2" s="62"/>
      <c r="BR2" s="63" t="s">
        <v>3</v>
      </c>
      <c r="BS2" s="62"/>
      <c r="BT2" s="62"/>
      <c r="BV2" s="64" t="s">
        <v>478</v>
      </c>
      <c r="BW2" s="64"/>
      <c r="BX2" s="64"/>
      <c r="BY2" s="64"/>
      <c r="BZ2" s="66" t="s">
        <v>481</v>
      </c>
      <c r="CA2" s="66"/>
      <c r="CB2" s="66"/>
      <c r="CC2" s="66"/>
      <c r="CD2" s="65" t="s">
        <v>484</v>
      </c>
      <c r="CE2" s="64"/>
      <c r="CF2" s="64"/>
    </row>
    <row r="3" spans="1:84" ht="14.25" thickBot="1" x14ac:dyDescent="0.2">
      <c r="A3" s="68"/>
      <c r="B3" s="68"/>
      <c r="C3" s="68"/>
      <c r="D3" s="68"/>
      <c r="E3" s="68"/>
      <c r="F3" s="68"/>
      <c r="G3" s="68"/>
      <c r="I3" s="68"/>
      <c r="J3" s="48" t="s">
        <v>15</v>
      </c>
      <c r="K3" s="48" t="s">
        <v>13</v>
      </c>
      <c r="L3" s="48" t="s">
        <v>71</v>
      </c>
      <c r="M3" s="48" t="s">
        <v>72</v>
      </c>
      <c r="N3" s="68"/>
      <c r="O3" s="68"/>
      <c r="P3" s="68"/>
      <c r="Q3" s="68"/>
      <c r="R3" s="68"/>
      <c r="S3" s="49" t="s">
        <v>15</v>
      </c>
      <c r="T3" s="49" t="s">
        <v>71</v>
      </c>
      <c r="U3" s="49" t="s">
        <v>73</v>
      </c>
      <c r="V3" s="49" t="s">
        <v>14</v>
      </c>
      <c r="W3" s="48" t="s">
        <v>4</v>
      </c>
      <c r="X3" s="48" t="s">
        <v>5</v>
      </c>
      <c r="Y3" s="49" t="s">
        <v>6</v>
      </c>
      <c r="Z3" s="49" t="s">
        <v>7</v>
      </c>
      <c r="AA3" s="49" t="s">
        <v>8</v>
      </c>
      <c r="AB3" s="48" t="s">
        <v>74</v>
      </c>
      <c r="AC3" s="48" t="s">
        <v>75</v>
      </c>
      <c r="AD3" s="49" t="s">
        <v>74</v>
      </c>
      <c r="AE3" s="49" t="s">
        <v>75</v>
      </c>
      <c r="AG3" s="68"/>
      <c r="AH3" s="49" t="s">
        <v>15</v>
      </c>
      <c r="AI3" s="49" t="s">
        <v>13</v>
      </c>
      <c r="AJ3" s="49" t="s">
        <v>71</v>
      </c>
      <c r="AK3" s="49" t="s">
        <v>72</v>
      </c>
      <c r="AL3" s="68"/>
      <c r="AM3" s="68"/>
      <c r="AN3" s="68"/>
      <c r="AO3" s="68"/>
      <c r="AP3" s="68"/>
      <c r="AQ3" s="48" t="s">
        <v>15</v>
      </c>
      <c r="AR3" s="48" t="s">
        <v>71</v>
      </c>
      <c r="AS3" s="48" t="s">
        <v>73</v>
      </c>
      <c r="AT3" s="48" t="s">
        <v>14</v>
      </c>
      <c r="AU3" s="49" t="s">
        <v>4</v>
      </c>
      <c r="AV3" s="49" t="s">
        <v>5</v>
      </c>
      <c r="AW3" s="48" t="s">
        <v>6</v>
      </c>
      <c r="AX3" s="48" t="s">
        <v>7</v>
      </c>
      <c r="AY3" s="48" t="s">
        <v>8</v>
      </c>
      <c r="AZ3" s="49" t="s">
        <v>74</v>
      </c>
      <c r="BA3" s="49" t="s">
        <v>75</v>
      </c>
      <c r="BB3" s="48" t="s">
        <v>74</v>
      </c>
      <c r="BC3" s="48" t="s">
        <v>75</v>
      </c>
      <c r="BE3" s="68"/>
      <c r="BF3" s="68"/>
      <c r="BG3" s="68"/>
      <c r="BH3" s="68"/>
      <c r="BJ3" s="49" t="s">
        <v>4</v>
      </c>
      <c r="BK3" s="49" t="s">
        <v>5</v>
      </c>
      <c r="BL3" s="48" t="s">
        <v>6</v>
      </c>
      <c r="BM3" s="48" t="s">
        <v>7</v>
      </c>
      <c r="BN3" s="48" t="s">
        <v>8</v>
      </c>
      <c r="BP3" s="49" t="s">
        <v>4</v>
      </c>
      <c r="BQ3" s="49" t="s">
        <v>5</v>
      </c>
      <c r="BR3" s="48" t="s">
        <v>6</v>
      </c>
      <c r="BS3" s="48" t="s">
        <v>7</v>
      </c>
      <c r="BT3" s="48" t="s">
        <v>8</v>
      </c>
      <c r="BV3" s="50" t="s">
        <v>71</v>
      </c>
      <c r="BW3" s="50" t="s">
        <v>479</v>
      </c>
      <c r="BX3" s="50" t="s">
        <v>480</v>
      </c>
      <c r="BY3" s="56" t="s">
        <v>487</v>
      </c>
      <c r="BZ3" s="53" t="s">
        <v>485</v>
      </c>
      <c r="CA3" s="50" t="s">
        <v>486</v>
      </c>
      <c r="CB3" s="50" t="s">
        <v>480</v>
      </c>
      <c r="CC3" s="56" t="s">
        <v>487</v>
      </c>
      <c r="CD3" s="50" t="s">
        <v>482</v>
      </c>
      <c r="CE3" s="50" t="s">
        <v>483</v>
      </c>
      <c r="CF3" s="50" t="s">
        <v>480</v>
      </c>
    </row>
    <row r="4" spans="1:84" ht="123" hidden="1" customHeight="1" thickBot="1" x14ac:dyDescent="0.2">
      <c r="A4" s="1" t="s">
        <v>76</v>
      </c>
      <c r="B4" s="2" t="s">
        <v>77</v>
      </c>
      <c r="C4" s="1" t="s">
        <v>78</v>
      </c>
      <c r="D4" s="2" t="s">
        <v>79</v>
      </c>
      <c r="E4" s="1" t="s">
        <v>80</v>
      </c>
      <c r="F4" s="2" t="s">
        <v>81</v>
      </c>
      <c r="G4" s="1" t="s">
        <v>82</v>
      </c>
      <c r="I4" s="2" t="s">
        <v>83</v>
      </c>
      <c r="J4" s="1" t="s">
        <v>84</v>
      </c>
      <c r="K4" s="1" t="s">
        <v>85</v>
      </c>
      <c r="L4" s="1" t="s">
        <v>86</v>
      </c>
      <c r="M4" s="1" t="s">
        <v>87</v>
      </c>
      <c r="N4" s="1" t="s">
        <v>88</v>
      </c>
      <c r="O4" s="2" t="s">
        <v>89</v>
      </c>
      <c r="P4" s="1" t="s">
        <v>90</v>
      </c>
      <c r="Q4" s="2" t="s">
        <v>91</v>
      </c>
      <c r="R4" s="1" t="s">
        <v>92</v>
      </c>
      <c r="S4" s="2" t="s">
        <v>93</v>
      </c>
      <c r="T4" s="2" t="s">
        <v>94</v>
      </c>
      <c r="U4" s="2" t="s">
        <v>95</v>
      </c>
      <c r="V4" s="2" t="s">
        <v>96</v>
      </c>
      <c r="W4" s="1" t="s">
        <v>97</v>
      </c>
      <c r="X4" s="1" t="s">
        <v>98</v>
      </c>
      <c r="Y4" s="2" t="s">
        <v>99</v>
      </c>
      <c r="Z4" s="2" t="s">
        <v>100</v>
      </c>
      <c r="AA4" s="2" t="s">
        <v>101</v>
      </c>
      <c r="AB4" s="1" t="s">
        <v>102</v>
      </c>
      <c r="AC4" s="1" t="s">
        <v>103</v>
      </c>
      <c r="AD4" s="2" t="s">
        <v>104</v>
      </c>
      <c r="AE4" s="2" t="s">
        <v>105</v>
      </c>
      <c r="AG4" s="1" t="s">
        <v>106</v>
      </c>
      <c r="AH4" s="2" t="s">
        <v>107</v>
      </c>
      <c r="AI4" s="2" t="s">
        <v>108</v>
      </c>
      <c r="AJ4" s="2" t="s">
        <v>109</v>
      </c>
      <c r="AK4" s="2" t="s">
        <v>110</v>
      </c>
      <c r="AL4" s="2" t="s">
        <v>111</v>
      </c>
      <c r="AM4" s="1" t="s">
        <v>112</v>
      </c>
      <c r="AN4" s="2" t="s">
        <v>113</v>
      </c>
      <c r="AO4" s="1" t="s">
        <v>114</v>
      </c>
      <c r="AP4" s="2" t="s">
        <v>115</v>
      </c>
      <c r="AQ4" s="1" t="s">
        <v>116</v>
      </c>
      <c r="AR4" s="1" t="s">
        <v>117</v>
      </c>
      <c r="AS4" s="1" t="s">
        <v>118</v>
      </c>
      <c r="AT4" s="1" t="s">
        <v>119</v>
      </c>
      <c r="AU4" s="2" t="s">
        <v>120</v>
      </c>
      <c r="AV4" s="2" t="s">
        <v>121</v>
      </c>
      <c r="AW4" s="1" t="s">
        <v>122</v>
      </c>
      <c r="AX4" s="1" t="s">
        <v>123</v>
      </c>
      <c r="AY4" s="1" t="s">
        <v>124</v>
      </c>
      <c r="AZ4" s="2" t="s">
        <v>125</v>
      </c>
      <c r="BA4" s="2" t="s">
        <v>126</v>
      </c>
      <c r="BB4" s="1" t="s">
        <v>127</v>
      </c>
      <c r="BC4" s="1" t="s">
        <v>128</v>
      </c>
      <c r="BE4" s="2" t="s">
        <v>129</v>
      </c>
      <c r="BF4" s="1" t="s">
        <v>130</v>
      </c>
      <c r="BG4" s="2" t="s">
        <v>131</v>
      </c>
      <c r="BH4" s="1" t="s">
        <v>132</v>
      </c>
      <c r="BJ4" s="2" t="s">
        <v>133</v>
      </c>
      <c r="BK4" s="2" t="s">
        <v>134</v>
      </c>
      <c r="BL4" s="1" t="s">
        <v>135</v>
      </c>
      <c r="BM4" s="1" t="s">
        <v>136</v>
      </c>
      <c r="BN4" s="1" t="s">
        <v>137</v>
      </c>
      <c r="BP4" s="2" t="s">
        <v>138</v>
      </c>
      <c r="BQ4" s="2" t="s">
        <v>139</v>
      </c>
      <c r="BR4" s="1" t="s">
        <v>140</v>
      </c>
      <c r="BS4" s="1" t="s">
        <v>141</v>
      </c>
      <c r="BT4" s="1" t="s">
        <v>142</v>
      </c>
      <c r="BZ4" s="54"/>
      <c r="CC4" s="57"/>
    </row>
    <row r="5" spans="1:84" x14ac:dyDescent="0.15">
      <c r="A5" s="46" t="s">
        <v>143</v>
      </c>
      <c r="B5" s="46" t="s">
        <v>17</v>
      </c>
      <c r="C5" s="3" t="s">
        <v>144</v>
      </c>
      <c r="D5" s="46">
        <v>238146391</v>
      </c>
      <c r="E5" s="3">
        <v>10</v>
      </c>
      <c r="F5" s="3">
        <v>32</v>
      </c>
      <c r="G5" s="3">
        <v>30</v>
      </c>
      <c r="I5" s="4">
        <f t="shared" ref="I5:I39" si="0">IF(OR(ISBLANK(S5),ISBLANK(G5)),"·",S5*G5/F5/1000000)</f>
        <v>2.1789900000000002</v>
      </c>
      <c r="J5" s="5">
        <f t="shared" ref="J5:J39" si="1">IF(ISBLANK(S5),"·",S5/D5)</f>
        <v>9.7597783877396652E-3</v>
      </c>
      <c r="K5" s="5">
        <f t="shared" ref="K5:K39" si="2">IF(N5="","·",N5/D5)</f>
        <v>6.1712629522905514E-3</v>
      </c>
      <c r="L5" s="5">
        <f t="shared" ref="L5:L39" si="3">IF(T5="","·",T5/D5)</f>
        <v>3.5270742356116581E-3</v>
      </c>
      <c r="M5" s="5">
        <f t="shared" ref="M5:M39" si="4">IF(ISBLANK(V5),"·",V5/D5)</f>
        <v>3.5885154354491143E-3</v>
      </c>
      <c r="N5" s="46">
        <f t="shared" ref="N5:N39" si="5">IF(OR(ISBLANK(T5),ISBLANK(U5)),"",T5+U5)</f>
        <v>1469664</v>
      </c>
      <c r="O5" s="5">
        <v>-12</v>
      </c>
      <c r="P5" s="6">
        <v>21771728</v>
      </c>
      <c r="Q5" s="6">
        <v>680366.5</v>
      </c>
      <c r="R5" s="6">
        <v>13458.65625</v>
      </c>
      <c r="S5" s="7">
        <v>2324256</v>
      </c>
      <c r="T5" s="7">
        <v>839960</v>
      </c>
      <c r="U5" s="7">
        <v>629704</v>
      </c>
      <c r="V5" s="7">
        <v>854592</v>
      </c>
      <c r="W5" s="8">
        <v>66.355962500000004</v>
      </c>
      <c r="X5" s="8">
        <v>68.483328125</v>
      </c>
      <c r="Y5" s="8">
        <v>32.113043750000003</v>
      </c>
      <c r="Z5" s="8">
        <v>44.188546875</v>
      </c>
      <c r="AA5" s="8">
        <v>43.811181249999898</v>
      </c>
      <c r="AB5" s="9">
        <v>431.88900000000001</v>
      </c>
      <c r="AC5" s="9">
        <v>404.07100000000003</v>
      </c>
      <c r="AD5" s="9">
        <v>1435.05</v>
      </c>
      <c r="AE5" s="9">
        <v>9.9529999999999994</v>
      </c>
      <c r="AG5" s="4">
        <f t="shared" ref="AG5:AG39" si="6">IF(OR(ISBLANK(AQ5),ISBLANK(G5)),"·",AQ5*G5/F5/1000000)</f>
        <v>2.1802874999999999</v>
      </c>
      <c r="AH5" s="5">
        <f t="shared" ref="AH5:AH39" si="7">IF(ISBLANK(AQ5),"·",AQ5/D5)</f>
        <v>9.7655899391731697E-3</v>
      </c>
      <c r="AI5" s="5">
        <f t="shared" ref="AI5:AI39" si="8">IF(AL5="","·",AL5/D5)</f>
        <v>6.1799634830493819E-3</v>
      </c>
      <c r="AJ5" s="5">
        <f t="shared" ref="AJ5:AJ39" si="9">IF(AR5="","·",AR5/D5)</f>
        <v>3.5357747663704885E-3</v>
      </c>
      <c r="AK5" s="5">
        <f t="shared" ref="AK5:AK39" si="10">IF(ISBLANK(AT5),"·",AT5/D5)</f>
        <v>3.5856264561237882E-3</v>
      </c>
      <c r="AL5" s="46">
        <f t="shared" ref="AL5:AL39" si="11">IF(OR(ISBLANK(AR5),ISBLANK(AS5)),"",AR5+AS5)</f>
        <v>1471736</v>
      </c>
      <c r="AM5" s="5">
        <v>-12</v>
      </c>
      <c r="AN5" s="6"/>
      <c r="AO5" s="6"/>
      <c r="AP5" s="6"/>
      <c r="AQ5" s="7">
        <v>2325640</v>
      </c>
      <c r="AR5" s="7">
        <v>842032</v>
      </c>
      <c r="AS5" s="7">
        <v>629704</v>
      </c>
      <c r="AT5" s="7">
        <v>853904</v>
      </c>
      <c r="AU5" s="8">
        <v>66.364678124999898</v>
      </c>
      <c r="AV5" s="8">
        <v>68.475065624999999</v>
      </c>
      <c r="AW5" s="8">
        <v>32.106396875000002</v>
      </c>
      <c r="AX5" s="8">
        <v>44.187378125000002</v>
      </c>
      <c r="AY5" s="8">
        <v>43.812159374999901</v>
      </c>
      <c r="AZ5" s="9">
        <v>110.34699999999999</v>
      </c>
      <c r="BA5" s="9">
        <v>109.502</v>
      </c>
      <c r="BB5" s="9">
        <v>816.375</v>
      </c>
      <c r="BC5" s="9">
        <v>9.8279999999999994</v>
      </c>
      <c r="BE5" s="44">
        <f t="shared" ref="BE5:BE43" si="12">AI5/K5</f>
        <v>1.0014098460600518</v>
      </c>
      <c r="BF5" s="10" t="e">
        <f t="shared" ref="BF5:BF39" si="13">(AP5/AO5) - (R5/Q5)</f>
        <v>#DIV/0!</v>
      </c>
      <c r="BG5" s="10">
        <f t="shared" ref="BG5:BG39" si="14">(AL5/AQ5) - (N5/S5)</f>
        <v>5.1464319884897414E-4</v>
      </c>
      <c r="BH5" s="10">
        <f t="array" ref="BH5">AVERAGE(AL5:AL9/AQ5:AQ9) - AVERAGE(N5:N9/S5:S9)</f>
        <v>2.7861909841808696E-4</v>
      </c>
      <c r="BJ5" s="44">
        <f>IF( OR(ISBLANK(N5:N9),ISBLANK(AL5:AL9), ISBLANK(W5:W9),ISBLANK(AU5:AU9)), "·", bdRateExtend( N5:N9,W5:W9, AL5:AL9,AU5:AU9))</f>
        <v>-1.5366432310226497E-4</v>
      </c>
      <c r="BK5" s="44">
        <f>IF( OR(ISBLANK(N5:N9),ISBLANK(AL5:AL9), ISBLANK(X5:X9),ISBLANK(AV5:AV9)), "·", bdRateExtend( N5:N9,X5:X9, AL5:AL9,AV5:AV9))</f>
        <v>1.9145420848598604E-4</v>
      </c>
      <c r="BL5" s="44">
        <f>IF( OR(ISBLANK(V5:V9),ISBLANK(AT5:AT9), ISBLANK(Y5:Y9),ISBLANK(AW5:AW9)), "·", bdRateExtend( V5:V9,Y5:Y9, AT5:AT9,AW5:AW9))</f>
        <v>1.5308520401633441E-3</v>
      </c>
      <c r="BM5" s="44">
        <f>IF( OR(ISBLANK(V5:V9),ISBLANK(AT5:AT9), ISBLANK(Z5:Z9),ISBLANK(AX5:AX9)), "·", bdRateExtend( V5:V9,Z5:Z9, AT5:AT9,AX5:AX9))</f>
        <v>1.5188897747249186E-3</v>
      </c>
      <c r="BN5" s="44">
        <f>IF( OR(ISBLANK(V5:V9),ISBLANK(AT5:AT9), ISBLANK(AA5:AA9),ISBLANK(AY5:AY9)), "·", bdRateExtend( V5:V9,AA5:AA9, AT5:AT9,AY5:AY9))</f>
        <v>-1.0658542452093189E-2</v>
      </c>
      <c r="BP5" s="44">
        <f>IF( OR(ISBLANK(S5:S9),ISBLANK(AQ5:AQ9), ISBLANK(W5:W9),ISBLANK(AU5:AU9)), "·", bdRateExtend( S5:S9,W5:W9, AQ5:AQ9,AU5:AU9))</f>
        <v>-1.2586631446627194E-3</v>
      </c>
      <c r="BQ5" s="44">
        <f>IF( OR(ISBLANK(S5:S9),ISBLANK(AQ5:AQ9), ISBLANK(X5:X9),ISBLANK(AV5:AV9)), "·", bdRateExtend( S5:S9,X5:X9, AQ5:AQ9,AV5:AV9))</f>
        <v>-3.2572644445849619E-4</v>
      </c>
      <c r="BR5" s="44">
        <f>IF( OR(ISBLANK(S5:S9),ISBLANK(AQ5:AQ9), ISBLANK(Y5:Y9),ISBLANK(AW5:AW9)), "·", bdRateExtend( S5:S9,Y5:Y9, AQ5:AQ9,AW5:AW9))</f>
        <v>1.5738782444287835E-3</v>
      </c>
      <c r="BS5" s="44">
        <f>IF( OR(ISBLANK(S5:S9),ISBLANK(AQ5:AQ9), ISBLANK(Z5:Z9),ISBLANK(AX5:AX9)), "·", bdRateExtend( S5:S9,Z5:Z9, AQ5:AQ9,AX5:AX9))</f>
        <v>1.4318194927545047E-3</v>
      </c>
      <c r="BT5" s="44">
        <f>IF( OR(ISBLANK(S5:S9),ISBLANK(AQ5:AQ9), ISBLANK(AA5:AA9),ISBLANK(AY5:AY9)), "·", bdRateExtend( S5:S9,AA5:AA9, AQ5:AQ9,AY5:AY9))</f>
        <v>-7.7151696840481732E-3</v>
      </c>
      <c r="BV5" s="51">
        <f t="shared" ref="BV5:BV39" si="15">(AB5-AZ5)/AB5</f>
        <v>0.74450148070453293</v>
      </c>
      <c r="BW5" s="51">
        <f t="shared" ref="BW5:BW39" si="16">(AC5-BA5)/AC5</f>
        <v>0.72900307124243013</v>
      </c>
      <c r="BX5" s="51">
        <f t="shared" ref="BX5:BX39" si="17">(AD5-BB5)/AD5</f>
        <v>0.43111738266959337</v>
      </c>
      <c r="BY5" s="51">
        <f>AVERAGE(BV5:BW5)</f>
        <v>0.73675227597348147</v>
      </c>
      <c r="BZ5" s="55"/>
      <c r="CA5" s="51"/>
      <c r="CC5" s="57"/>
    </row>
    <row r="6" spans="1:84" outlineLevel="1" x14ac:dyDescent="0.15">
      <c r="A6" s="11"/>
      <c r="B6" s="11" t="s">
        <v>17</v>
      </c>
      <c r="C6" s="12" t="s">
        <v>145</v>
      </c>
      <c r="D6" s="11">
        <v>238146391</v>
      </c>
      <c r="E6" s="12">
        <v>10</v>
      </c>
      <c r="F6" s="12">
        <v>32</v>
      </c>
      <c r="G6" s="12">
        <v>30</v>
      </c>
      <c r="I6" s="13">
        <f t="shared" si="0"/>
        <v>3.388665</v>
      </c>
      <c r="J6" s="14">
        <f t="shared" si="1"/>
        <v>1.5177958334040006E-2</v>
      </c>
      <c r="K6" s="14">
        <f t="shared" si="2"/>
        <v>7.5204498900006429E-3</v>
      </c>
      <c r="L6" s="14">
        <f t="shared" si="3"/>
        <v>4.8762611733217491E-3</v>
      </c>
      <c r="M6" s="14">
        <f t="shared" si="4"/>
        <v>7.6575084440393638E-3</v>
      </c>
      <c r="N6" s="11">
        <f t="shared" si="5"/>
        <v>1790968</v>
      </c>
      <c r="O6" s="14">
        <v>-12</v>
      </c>
      <c r="P6" s="15">
        <v>24147688</v>
      </c>
      <c r="Q6" s="15">
        <v>754615.25</v>
      </c>
      <c r="R6" s="15">
        <v>19012.03125</v>
      </c>
      <c r="S6" s="16">
        <v>3614576</v>
      </c>
      <c r="T6" s="16">
        <v>1161264</v>
      </c>
      <c r="U6" s="16">
        <v>629704</v>
      </c>
      <c r="V6" s="16">
        <v>1823608</v>
      </c>
      <c r="W6" s="17">
        <v>68.241949999999903</v>
      </c>
      <c r="X6" s="17">
        <v>70.429959374999996</v>
      </c>
      <c r="Y6" s="17">
        <v>34.357659374999997</v>
      </c>
      <c r="Z6" s="17">
        <v>45.4717531249999</v>
      </c>
      <c r="AA6" s="17">
        <v>45.224109374999998</v>
      </c>
      <c r="AB6" s="18">
        <v>463.45600000000002</v>
      </c>
      <c r="AC6" s="18">
        <v>410.53100000000001</v>
      </c>
      <c r="AD6" s="18">
        <v>1478.13</v>
      </c>
      <c r="AE6" s="18">
        <v>9.859</v>
      </c>
      <c r="AG6" s="13">
        <f t="shared" si="6"/>
        <v>3.3910874999999998</v>
      </c>
      <c r="AH6" s="14">
        <f t="shared" si="7"/>
        <v>1.5188808802901405E-2</v>
      </c>
      <c r="AI6" s="14">
        <f t="shared" si="8"/>
        <v>7.5280754517081886E-3</v>
      </c>
      <c r="AJ6" s="14">
        <f t="shared" si="9"/>
        <v>4.8838867350292957E-3</v>
      </c>
      <c r="AK6" s="14">
        <f t="shared" si="10"/>
        <v>7.6607333511932163E-3</v>
      </c>
      <c r="AL6" s="11">
        <f t="shared" si="11"/>
        <v>1792784</v>
      </c>
      <c r="AM6" s="14">
        <v>-12</v>
      </c>
      <c r="AN6" s="15"/>
      <c r="AO6" s="15"/>
      <c r="AP6" s="15"/>
      <c r="AQ6" s="16">
        <v>3617160</v>
      </c>
      <c r="AR6" s="16">
        <v>1163080</v>
      </c>
      <c r="AS6" s="16">
        <v>629704</v>
      </c>
      <c r="AT6" s="16">
        <v>1824376</v>
      </c>
      <c r="AU6" s="17">
        <v>68.236709375000004</v>
      </c>
      <c r="AV6" s="17">
        <v>70.421509374999999</v>
      </c>
      <c r="AW6" s="17">
        <v>34.354956250000001</v>
      </c>
      <c r="AX6" s="17">
        <v>45.467246875000001</v>
      </c>
      <c r="AY6" s="17">
        <v>45.259165624999902</v>
      </c>
      <c r="AZ6" s="18">
        <v>134.75399999999999</v>
      </c>
      <c r="BA6" s="18">
        <v>120.224</v>
      </c>
      <c r="BB6" s="18">
        <v>859.04600000000005</v>
      </c>
      <c r="BC6" s="18">
        <v>9.6709999999999994</v>
      </c>
      <c r="BE6" s="43">
        <f t="shared" si="12"/>
        <v>1.0010139767991386</v>
      </c>
      <c r="BF6" s="19" t="e">
        <f t="shared" si="13"/>
        <v>#DIV/0!</v>
      </c>
      <c r="BG6" s="19">
        <f t="shared" si="14"/>
        <v>1.4809046195640718E-4</v>
      </c>
      <c r="BH6" s="19"/>
      <c r="BJ6" s="43"/>
      <c r="BK6" s="43"/>
      <c r="BL6" s="43"/>
      <c r="BM6" s="43"/>
      <c r="BN6" s="43"/>
      <c r="BP6" s="43"/>
      <c r="BQ6" s="43"/>
      <c r="BR6" s="43"/>
      <c r="BS6" s="43"/>
      <c r="BT6" s="43"/>
      <c r="BV6" s="51">
        <f t="shared" si="15"/>
        <v>0.70924100669750734</v>
      </c>
      <c r="BW6" s="51">
        <f t="shared" si="16"/>
        <v>0.70715000816016338</v>
      </c>
      <c r="BX6" s="51">
        <f t="shared" si="17"/>
        <v>0.41882919634944155</v>
      </c>
      <c r="BY6" s="51">
        <f t="shared" ref="BY6:BY39" si="18">AVERAGE(BV6:BW6)</f>
        <v>0.7081955074288353</v>
      </c>
      <c r="BZ6" s="55"/>
      <c r="CA6" s="51"/>
      <c r="CC6" s="57"/>
    </row>
    <row r="7" spans="1:84" outlineLevel="1" x14ac:dyDescent="0.15">
      <c r="A7" s="46"/>
      <c r="B7" s="46" t="s">
        <v>17</v>
      </c>
      <c r="C7" s="3" t="s">
        <v>146</v>
      </c>
      <c r="D7" s="46">
        <v>238146391</v>
      </c>
      <c r="E7" s="3">
        <v>10</v>
      </c>
      <c r="F7" s="3">
        <v>32</v>
      </c>
      <c r="G7" s="3">
        <v>30</v>
      </c>
      <c r="I7" s="4">
        <f t="shared" si="0"/>
        <v>5.5621875000000003</v>
      </c>
      <c r="J7" s="5">
        <f t="shared" si="1"/>
        <v>2.4913247583080108E-2</v>
      </c>
      <c r="K7" s="5">
        <f t="shared" si="2"/>
        <v>9.4649681254250044E-3</v>
      </c>
      <c r="L7" s="5">
        <f t="shared" si="3"/>
        <v>6.8207794087461106E-3</v>
      </c>
      <c r="M7" s="5">
        <f t="shared" si="4"/>
        <v>1.5448279457655102E-2</v>
      </c>
      <c r="N7" s="46">
        <f t="shared" si="5"/>
        <v>2254048</v>
      </c>
      <c r="O7" s="5">
        <v>-12</v>
      </c>
      <c r="P7" s="6">
        <v>24798303</v>
      </c>
      <c r="Q7" s="6">
        <v>774946.96875</v>
      </c>
      <c r="R7" s="6">
        <v>20946</v>
      </c>
      <c r="S7" s="7">
        <v>5933000</v>
      </c>
      <c r="T7" s="7">
        <v>1624344</v>
      </c>
      <c r="U7" s="7">
        <v>629704</v>
      </c>
      <c r="V7" s="7">
        <v>3678952</v>
      </c>
      <c r="W7" s="8">
        <v>69.679040624999999</v>
      </c>
      <c r="X7" s="8">
        <v>72.1286249999999</v>
      </c>
      <c r="Y7" s="8">
        <v>36.89405</v>
      </c>
      <c r="Z7" s="8">
        <v>46.603406249999999</v>
      </c>
      <c r="AA7" s="8">
        <v>46.480725</v>
      </c>
      <c r="AB7" s="9">
        <v>494.35500000000002</v>
      </c>
      <c r="AC7" s="9">
        <v>423.44600000000003</v>
      </c>
      <c r="AD7" s="9">
        <v>1530.16</v>
      </c>
      <c r="AE7" s="9">
        <v>9.7650000000000006</v>
      </c>
      <c r="AG7" s="4">
        <f t="shared" si="6"/>
        <v>5.5607175</v>
      </c>
      <c r="AH7" s="5">
        <f t="shared" si="7"/>
        <v>2.4906663397640992E-2</v>
      </c>
      <c r="AI7" s="5">
        <f t="shared" si="8"/>
        <v>9.4591901667743523E-3</v>
      </c>
      <c r="AJ7" s="5">
        <f t="shared" si="9"/>
        <v>6.8150014500954585E-3</v>
      </c>
      <c r="AK7" s="5">
        <f t="shared" si="10"/>
        <v>1.544747323086664E-2</v>
      </c>
      <c r="AL7" s="46">
        <f t="shared" si="11"/>
        <v>2252672</v>
      </c>
      <c r="AM7" s="5">
        <v>-12</v>
      </c>
      <c r="AN7" s="6"/>
      <c r="AO7" s="6"/>
      <c r="AP7" s="6"/>
      <c r="AQ7" s="7">
        <v>5931432</v>
      </c>
      <c r="AR7" s="7">
        <v>1622968</v>
      </c>
      <c r="AS7" s="7">
        <v>629704</v>
      </c>
      <c r="AT7" s="7">
        <v>3678760</v>
      </c>
      <c r="AU7" s="8">
        <v>69.688653125000002</v>
      </c>
      <c r="AV7" s="8">
        <v>72.124578124999999</v>
      </c>
      <c r="AW7" s="8">
        <v>36.887721874999897</v>
      </c>
      <c r="AX7" s="8">
        <v>46.602231249999903</v>
      </c>
      <c r="AY7" s="8">
        <v>46.481790625000002</v>
      </c>
      <c r="AZ7" s="9">
        <v>154.77099999999999</v>
      </c>
      <c r="BA7" s="9">
        <v>141.73400000000001</v>
      </c>
      <c r="BB7" s="9">
        <v>900.43700000000001</v>
      </c>
      <c r="BC7" s="9">
        <v>9.75</v>
      </c>
      <c r="BE7" s="44">
        <f t="shared" si="12"/>
        <v>0.99938954272491087</v>
      </c>
      <c r="BF7" s="10" t="e">
        <f t="shared" si="13"/>
        <v>#DIV/0!</v>
      </c>
      <c r="BG7" s="10">
        <f t="shared" si="14"/>
        <v>-1.3155171094925144E-4</v>
      </c>
      <c r="BH7" s="10"/>
      <c r="BJ7" s="44"/>
      <c r="BK7" s="44"/>
      <c r="BL7" s="44"/>
      <c r="BM7" s="44"/>
      <c r="BN7" s="44"/>
      <c r="BP7" s="44"/>
      <c r="BQ7" s="44"/>
      <c r="BR7" s="44"/>
      <c r="BS7" s="44"/>
      <c r="BT7" s="44"/>
      <c r="BV7" s="51">
        <f t="shared" si="15"/>
        <v>0.68692336478846183</v>
      </c>
      <c r="BW7" s="51">
        <f t="shared" si="16"/>
        <v>0.66528435739149727</v>
      </c>
      <c r="BX7" s="51">
        <f t="shared" si="17"/>
        <v>0.41154062320280232</v>
      </c>
      <c r="BY7" s="51">
        <f t="shared" si="18"/>
        <v>0.67610386108997955</v>
      </c>
      <c r="BZ7" s="55"/>
      <c r="CA7" s="51"/>
      <c r="CC7" s="57"/>
    </row>
    <row r="8" spans="1:84" outlineLevel="1" x14ac:dyDescent="0.15">
      <c r="A8" s="11"/>
      <c r="B8" s="11" t="s">
        <v>17</v>
      </c>
      <c r="C8" s="12" t="s">
        <v>147</v>
      </c>
      <c r="D8" s="11">
        <v>238146391</v>
      </c>
      <c r="E8" s="12">
        <v>10</v>
      </c>
      <c r="F8" s="12">
        <v>32</v>
      </c>
      <c r="G8" s="12">
        <v>30</v>
      </c>
      <c r="I8" s="13">
        <f t="shared" si="0"/>
        <v>9.4267649999999996</v>
      </c>
      <c r="J8" s="14">
        <f t="shared" si="1"/>
        <v>4.2222835953033611E-2</v>
      </c>
      <c r="K8" s="14">
        <f t="shared" si="2"/>
        <v>1.2729682726957639E-2</v>
      </c>
      <c r="L8" s="14">
        <f t="shared" si="3"/>
        <v>1.0085494010278745E-2</v>
      </c>
      <c r="M8" s="14">
        <f t="shared" si="4"/>
        <v>2.9493153226075972E-2</v>
      </c>
      <c r="N8" s="11">
        <f t="shared" si="5"/>
        <v>3031528</v>
      </c>
      <c r="O8" s="14">
        <v>-12</v>
      </c>
      <c r="P8" s="15">
        <v>25806958</v>
      </c>
      <c r="Q8" s="15">
        <v>806467.4375</v>
      </c>
      <c r="R8" s="15">
        <v>24305.84375</v>
      </c>
      <c r="S8" s="16">
        <v>10055216</v>
      </c>
      <c r="T8" s="16">
        <v>2401824</v>
      </c>
      <c r="U8" s="16">
        <v>629704</v>
      </c>
      <c r="V8" s="16">
        <v>7023688</v>
      </c>
      <c r="W8" s="17">
        <v>70.829490625000005</v>
      </c>
      <c r="X8" s="17">
        <v>73.399412499999997</v>
      </c>
      <c r="Y8" s="17">
        <v>39.521596875</v>
      </c>
      <c r="Z8" s="17">
        <v>47.923753124999998</v>
      </c>
      <c r="AA8" s="17">
        <v>47.9429374999999</v>
      </c>
      <c r="AB8" s="18">
        <v>535.47900000000004</v>
      </c>
      <c r="AC8" s="18">
        <v>446.67</v>
      </c>
      <c r="AD8" s="18">
        <v>1586.61</v>
      </c>
      <c r="AE8" s="18">
        <v>9.875</v>
      </c>
      <c r="AG8" s="13">
        <f t="shared" si="6"/>
        <v>9.4092075000000008</v>
      </c>
      <c r="AH8" s="14">
        <f t="shared" si="7"/>
        <v>4.2144195248375607E-2</v>
      </c>
      <c r="AI8" s="14">
        <f t="shared" si="8"/>
        <v>1.273532631447688E-2</v>
      </c>
      <c r="AJ8" s="14">
        <f t="shared" si="9"/>
        <v>1.0091137597797986E-2</v>
      </c>
      <c r="AK8" s="14">
        <f t="shared" si="10"/>
        <v>2.940886893389873E-2</v>
      </c>
      <c r="AL8" s="11">
        <f t="shared" si="11"/>
        <v>3032872</v>
      </c>
      <c r="AM8" s="14">
        <v>-12</v>
      </c>
      <c r="AN8" s="15"/>
      <c r="AO8" s="15"/>
      <c r="AP8" s="15"/>
      <c r="AQ8" s="16">
        <v>10036488</v>
      </c>
      <c r="AR8" s="16">
        <v>2403168</v>
      </c>
      <c r="AS8" s="16">
        <v>629704</v>
      </c>
      <c r="AT8" s="16">
        <v>7003616</v>
      </c>
      <c r="AU8" s="17">
        <v>70.834456250000002</v>
      </c>
      <c r="AV8" s="17">
        <v>73.40693125</v>
      </c>
      <c r="AW8" s="17">
        <v>39.504290625000003</v>
      </c>
      <c r="AX8" s="17">
        <v>47.909178124999997</v>
      </c>
      <c r="AY8" s="17">
        <v>47.972865624999997</v>
      </c>
      <c r="AZ8" s="18">
        <v>226.33799999999999</v>
      </c>
      <c r="BA8" s="18">
        <v>175.989</v>
      </c>
      <c r="BB8" s="18">
        <v>1010.23</v>
      </c>
      <c r="BC8" s="18">
        <v>10</v>
      </c>
      <c r="BE8" s="43">
        <f t="shared" si="12"/>
        <v>1.0004433407839215</v>
      </c>
      <c r="BF8" s="19" t="e">
        <f t="shared" si="13"/>
        <v>#DIV/0!</v>
      </c>
      <c r="BG8" s="19">
        <f t="shared" si="14"/>
        <v>6.9648558324331145E-4</v>
      </c>
      <c r="BH8" s="19"/>
      <c r="BJ8" s="43"/>
      <c r="BK8" s="43"/>
      <c r="BL8" s="43"/>
      <c r="BM8" s="43"/>
      <c r="BN8" s="43"/>
      <c r="BP8" s="43"/>
      <c r="BQ8" s="43"/>
      <c r="BR8" s="43"/>
      <c r="BS8" s="43"/>
      <c r="BT8" s="43"/>
      <c r="BV8" s="51">
        <f t="shared" si="15"/>
        <v>0.57731675751990286</v>
      </c>
      <c r="BW8" s="51">
        <f t="shared" si="16"/>
        <v>0.60599771643495204</v>
      </c>
      <c r="BX8" s="51">
        <f t="shared" si="17"/>
        <v>0.36327768008521305</v>
      </c>
      <c r="BY8" s="51">
        <f t="shared" si="18"/>
        <v>0.59165723697742745</v>
      </c>
      <c r="BZ8" s="55"/>
      <c r="CA8" s="51"/>
      <c r="CC8" s="57"/>
    </row>
    <row r="9" spans="1:84" ht="14.25" outlineLevel="1" thickBot="1" x14ac:dyDescent="0.2">
      <c r="A9" s="46"/>
      <c r="B9" s="20" t="s">
        <v>17</v>
      </c>
      <c r="C9" s="21" t="s">
        <v>148</v>
      </c>
      <c r="D9" s="20">
        <v>238146391</v>
      </c>
      <c r="E9" s="21">
        <v>10</v>
      </c>
      <c r="F9" s="21">
        <v>32</v>
      </c>
      <c r="G9" s="21">
        <v>30</v>
      </c>
      <c r="I9" s="22">
        <f t="shared" si="0"/>
        <v>16.8055275</v>
      </c>
      <c r="J9" s="23">
        <f t="shared" si="1"/>
        <v>7.5272591470848707E-2</v>
      </c>
      <c r="K9" s="23">
        <f t="shared" si="2"/>
        <v>2.0658352114183414E-2</v>
      </c>
      <c r="L9" s="23">
        <f t="shared" si="3"/>
        <v>1.5548050022727408E-2</v>
      </c>
      <c r="M9" s="23">
        <f t="shared" si="4"/>
        <v>5.461423935666529E-2</v>
      </c>
      <c r="N9" s="20">
        <f t="shared" si="5"/>
        <v>4919712</v>
      </c>
      <c r="O9" s="23">
        <v>-12</v>
      </c>
      <c r="P9" s="24">
        <v>24863702</v>
      </c>
      <c r="Q9" s="24">
        <v>776990.6875</v>
      </c>
      <c r="R9" s="24">
        <v>10657.0625</v>
      </c>
      <c r="S9" s="25">
        <v>17925896</v>
      </c>
      <c r="T9" s="25">
        <v>3702712</v>
      </c>
      <c r="U9" s="25">
        <v>1217000</v>
      </c>
      <c r="V9" s="25">
        <v>13006184</v>
      </c>
      <c r="W9" s="26">
        <v>71.945081250000001</v>
      </c>
      <c r="X9" s="26">
        <v>75.324081250000006</v>
      </c>
      <c r="Y9" s="26">
        <v>42.094303124999897</v>
      </c>
      <c r="Z9" s="26">
        <v>49.4176312499999</v>
      </c>
      <c r="AA9" s="26">
        <v>49.554403125</v>
      </c>
      <c r="AB9" s="27">
        <v>570.01099999999997</v>
      </c>
      <c r="AC9" s="27">
        <v>493.15699999999998</v>
      </c>
      <c r="AD9" s="27">
        <v>1681.13</v>
      </c>
      <c r="AE9" s="27">
        <v>9.859</v>
      </c>
      <c r="AG9" s="22">
        <f t="shared" si="6"/>
        <v>16.76304</v>
      </c>
      <c r="AH9" s="23">
        <f t="shared" si="7"/>
        <v>7.5082288355988569E-2</v>
      </c>
      <c r="AI9" s="23">
        <f t="shared" si="8"/>
        <v>2.061854466650305E-2</v>
      </c>
      <c r="AJ9" s="23">
        <f t="shared" si="9"/>
        <v>1.5508242575047043E-2</v>
      </c>
      <c r="AK9" s="23">
        <f t="shared" si="10"/>
        <v>5.4463743689485512E-2</v>
      </c>
      <c r="AL9" s="20">
        <f t="shared" si="11"/>
        <v>4910232</v>
      </c>
      <c r="AM9" s="23">
        <v>-12</v>
      </c>
      <c r="AN9" s="24"/>
      <c r="AO9" s="24"/>
      <c r="AP9" s="24"/>
      <c r="AQ9" s="25">
        <v>17880576</v>
      </c>
      <c r="AR9" s="25">
        <v>3693232</v>
      </c>
      <c r="AS9" s="25">
        <v>1217000</v>
      </c>
      <c r="AT9" s="25">
        <v>12970344</v>
      </c>
      <c r="AU9" s="26">
        <v>71.943418750000006</v>
      </c>
      <c r="AV9" s="26">
        <v>75.326715624999906</v>
      </c>
      <c r="AW9" s="26">
        <v>42.070774999999998</v>
      </c>
      <c r="AX9" s="26">
        <v>49.426284374999902</v>
      </c>
      <c r="AY9" s="26">
        <v>49.557040624999999</v>
      </c>
      <c r="AZ9" s="27">
        <v>341.48500000000001</v>
      </c>
      <c r="BA9" s="27">
        <v>245.72499999999999</v>
      </c>
      <c r="BB9" s="27">
        <v>1209.95</v>
      </c>
      <c r="BC9" s="27">
        <v>9.7959999999999994</v>
      </c>
      <c r="BE9" s="28">
        <f t="shared" si="12"/>
        <v>0.9980730579350986</v>
      </c>
      <c r="BF9" s="29" t="e">
        <f t="shared" si="13"/>
        <v>#DIV/0!</v>
      </c>
      <c r="BG9" s="29">
        <f t="shared" si="14"/>
        <v>1.6542795899121554E-4</v>
      </c>
      <c r="BH9" s="29"/>
      <c r="BJ9" s="28"/>
      <c r="BK9" s="28"/>
      <c r="BL9" s="28"/>
      <c r="BM9" s="28"/>
      <c r="BN9" s="28"/>
      <c r="BP9" s="28"/>
      <c r="BQ9" s="28"/>
      <c r="BR9" s="28"/>
      <c r="BS9" s="28"/>
      <c r="BT9" s="28"/>
      <c r="BV9" s="51">
        <f t="shared" si="15"/>
        <v>0.40091507006005139</v>
      </c>
      <c r="BW9" s="51">
        <f t="shared" si="16"/>
        <v>0.50173068617093541</v>
      </c>
      <c r="BX9" s="51">
        <f t="shared" si="17"/>
        <v>0.2802757668948862</v>
      </c>
      <c r="BY9" s="51">
        <f t="shared" si="18"/>
        <v>0.45132287811549343</v>
      </c>
      <c r="BZ9" s="55">
        <f>AVERAGE(BV5:BV9)</f>
        <v>0.6237795359540913</v>
      </c>
      <c r="CA9" s="51">
        <f t="shared" ref="CA9" si="19">AVERAGE(BW5:BW9)</f>
        <v>0.64183316787999556</v>
      </c>
      <c r="CB9" s="51">
        <f>AVERAGE(BX5:BX9)</f>
        <v>0.38100812984038734</v>
      </c>
      <c r="CC9" s="58">
        <f>AVERAGE(BY5:BY9)</f>
        <v>0.63280635191704349</v>
      </c>
      <c r="CD9" s="51">
        <f>(SUM(AB5:AB9)-SUM(AZ5:AZ9))/SUM(AB5:AB9)</f>
        <v>0.61217582628978162</v>
      </c>
      <c r="CE9" s="51">
        <f>(SUM(AC5:AC9)-SUM(BA5:BA9))/SUM(AC5:AC9)</f>
        <v>0.63580370774263917</v>
      </c>
      <c r="CF9" s="51">
        <f>(SUM(AB5:AC9)-SUM(AZ5:BA9))/SUM(AB5:AC9)</f>
        <v>0.6231875653345289</v>
      </c>
    </row>
    <row r="10" spans="1:84" x14ac:dyDescent="0.15">
      <c r="A10" s="11"/>
      <c r="B10" s="11" t="s">
        <v>20</v>
      </c>
      <c r="C10" s="12" t="s">
        <v>144</v>
      </c>
      <c r="D10" s="11">
        <v>218121242</v>
      </c>
      <c r="E10" s="12">
        <v>10</v>
      </c>
      <c r="F10" s="12">
        <v>32</v>
      </c>
      <c r="G10" s="12">
        <v>30</v>
      </c>
      <c r="I10" s="13">
        <f t="shared" si="0"/>
        <v>3.1803675</v>
      </c>
      <c r="J10" s="14">
        <f t="shared" si="1"/>
        <v>1.555278142052758E-2</v>
      </c>
      <c r="K10" s="14">
        <f t="shared" si="2"/>
        <v>8.0389419385389349E-3</v>
      </c>
      <c r="L10" s="14">
        <f t="shared" si="3"/>
        <v>4.2751636266586089E-3</v>
      </c>
      <c r="M10" s="14">
        <f t="shared" si="4"/>
        <v>7.5138394819886456E-3</v>
      </c>
      <c r="N10" s="11">
        <f t="shared" si="5"/>
        <v>1753464</v>
      </c>
      <c r="O10" s="14">
        <v>-12</v>
      </c>
      <c r="P10" s="15">
        <v>20646708</v>
      </c>
      <c r="Q10" s="15">
        <v>645209.625</v>
      </c>
      <c r="R10" s="15">
        <v>18054.21875</v>
      </c>
      <c r="S10" s="16">
        <v>3392392</v>
      </c>
      <c r="T10" s="16">
        <v>932504</v>
      </c>
      <c r="U10" s="16">
        <v>820960</v>
      </c>
      <c r="V10" s="16">
        <v>1638928</v>
      </c>
      <c r="W10" s="17">
        <v>65.886574999999993</v>
      </c>
      <c r="X10" s="17">
        <v>67.829274999999996</v>
      </c>
      <c r="Y10" s="17">
        <v>32.394371874999898</v>
      </c>
      <c r="Z10" s="17">
        <v>39.164603124999999</v>
      </c>
      <c r="AA10" s="17">
        <v>32.094328124999997</v>
      </c>
      <c r="AB10" s="18">
        <v>466.02199999999999</v>
      </c>
      <c r="AC10" s="18">
        <v>427.16</v>
      </c>
      <c r="AD10" s="18">
        <v>1481.38</v>
      </c>
      <c r="AE10" s="18">
        <v>10.484</v>
      </c>
      <c r="AG10" s="13">
        <f t="shared" si="6"/>
        <v>3.174855</v>
      </c>
      <c r="AH10" s="14">
        <f t="shared" si="7"/>
        <v>1.552582393602912E-2</v>
      </c>
      <c r="AI10" s="14">
        <f t="shared" si="8"/>
        <v>8.0296260187258609E-3</v>
      </c>
      <c r="AJ10" s="14">
        <f t="shared" si="9"/>
        <v>4.2658477068455349E-3</v>
      </c>
      <c r="AK10" s="14">
        <f t="shared" si="10"/>
        <v>7.4961979173032581E-3</v>
      </c>
      <c r="AL10" s="11">
        <f t="shared" si="11"/>
        <v>1751432</v>
      </c>
      <c r="AM10" s="14">
        <v>-12</v>
      </c>
      <c r="AN10" s="15"/>
      <c r="AO10" s="15"/>
      <c r="AP10" s="15"/>
      <c r="AQ10" s="16">
        <v>3386512</v>
      </c>
      <c r="AR10" s="16">
        <v>930472</v>
      </c>
      <c r="AS10" s="16">
        <v>820960</v>
      </c>
      <c r="AT10" s="16">
        <v>1635080</v>
      </c>
      <c r="AU10" s="17">
        <v>65.891278124999999</v>
      </c>
      <c r="AV10" s="17">
        <v>67.781946875000003</v>
      </c>
      <c r="AW10" s="17">
        <v>32.381340625</v>
      </c>
      <c r="AX10" s="17">
        <v>39.169874999999998</v>
      </c>
      <c r="AY10" s="17">
        <v>32.0679937499999</v>
      </c>
      <c r="AZ10" s="18">
        <v>124.816</v>
      </c>
      <c r="BA10" s="18">
        <v>108.97</v>
      </c>
      <c r="BB10" s="18">
        <v>821.46799999999996</v>
      </c>
      <c r="BC10" s="18">
        <v>10.531000000000001</v>
      </c>
      <c r="BE10" s="43">
        <f t="shared" si="12"/>
        <v>0.99884115100167437</v>
      </c>
      <c r="BF10" s="19" t="e">
        <f t="shared" si="13"/>
        <v>#DIV/0!</v>
      </c>
      <c r="BG10" s="19">
        <f t="shared" si="14"/>
        <v>2.9743348507615952E-4</v>
      </c>
      <c r="BH10" s="19">
        <f t="array" ref="BH10">AVERAGE(AL10:AL14/AQ10:AQ14) - AVERAGE(N10:N14/S10:S14)</f>
        <v>4.7043577436195472E-4</v>
      </c>
      <c r="BJ10" s="43">
        <f>IF( OR(ISBLANK(N10:N14),ISBLANK(AL10:AL14), ISBLANK(W10:W14),ISBLANK(AU10:AU14)), "·", bdRateExtend( N10:N14,W10:W14, AL10:AL14,AU10:AU14))</f>
        <v>-6.4324258924530753E-4</v>
      </c>
      <c r="BK10" s="43">
        <f>IF( OR(ISBLANK(N10:N14),ISBLANK(AL10:AL14), ISBLANK(X10:X14),ISBLANK(AV10:AV14)), "·", bdRateExtend( N10:N14,X10:X14, AL10:AL14,AV10:AV14))</f>
        <v>-4.2481025296592367E-4</v>
      </c>
      <c r="BL10" s="43">
        <f>IF( OR(ISBLANK(V10:V14),ISBLANK(AT10:AT14), ISBLANK(Y10:Y14),ISBLANK(AW10:AW14)), "·", bdRateExtend( V10:V14,Y10:Y14, AT10:AT14,AW10:AW14))</f>
        <v>9.4068313730977238E-4</v>
      </c>
      <c r="BM10" s="43">
        <f>IF( OR(ISBLANK(V10:V14),ISBLANK(AT10:AT14), ISBLANK(Z10:Z14),ISBLANK(AX10:AX14)), "·", bdRateExtend( V10:V14,Z10:Z14, AT10:AT14,AX10:AX14))</f>
        <v>-6.765291874691326E-3</v>
      </c>
      <c r="BN10" s="43">
        <f>IF( OR(ISBLANK(V10:V14),ISBLANK(AT10:AT14), ISBLANK(AA10:AA14),ISBLANK(AY10:AY14)), "·", bdRateExtend( V10:V14,AA10:AA14, AT10:AT14,AY10:AY14))</f>
        <v>3.1086904251211855E-3</v>
      </c>
      <c r="BP10" s="43">
        <f>IF( OR(ISBLANK(S10:S14),ISBLANK(AQ10:AQ14), ISBLANK(W10:W14),ISBLANK(AU10:AU14)), "·", bdRateExtend( S10:S14,W10:W14, AQ10:AQ14,AU10:AU14))</f>
        <v>-1.9823176668821718E-3</v>
      </c>
      <c r="BQ10" s="43">
        <f>IF( OR(ISBLANK(S10:S14),ISBLANK(AQ10:AQ14), ISBLANK(X10:X14),ISBLANK(AV10:AV14)), "·", bdRateExtend( S10:S14,X10:X14, AQ10:AQ14,AV10:AV14))</f>
        <v>-1.2839674539708579E-3</v>
      </c>
      <c r="BR10" s="43">
        <f>IF( OR(ISBLANK(S10:S14),ISBLANK(AQ10:AQ14), ISBLANK(Y10:Y14),ISBLANK(AW10:AW14)), "·", bdRateExtend( S10:S14,Y10:Y14, AQ10:AQ14,AW10:AW14))</f>
        <v>1.1079915307423693E-3</v>
      </c>
      <c r="BS10" s="43">
        <f>IF( OR(ISBLANK(S10:S14),ISBLANK(AQ10:AQ14), ISBLANK(Z10:Z14),ISBLANK(AX10:AX14)), "·", bdRateExtend( S10:S14,Z10:Z14, AQ10:AQ14,AX10:AX14))</f>
        <v>-4.9387376358042134E-3</v>
      </c>
      <c r="BT10" s="43">
        <f>IF( OR(ISBLANK(S10:S14),ISBLANK(AQ10:AQ14), ISBLANK(AA10:AA14),ISBLANK(AY10:AY14)), "·", bdRateExtend( S10:S14,AA10:AA14, AQ10:AQ14,AY10:AY14))</f>
        <v>2.7598394599550602E-3</v>
      </c>
      <c r="BV10" s="51">
        <f t="shared" si="15"/>
        <v>0.73216715090703877</v>
      </c>
      <c r="BW10" s="51">
        <f t="shared" si="16"/>
        <v>0.74489652589193756</v>
      </c>
      <c r="BX10" s="51">
        <f t="shared" si="17"/>
        <v>0.44547111477136192</v>
      </c>
      <c r="BY10" s="51">
        <f t="shared" si="18"/>
        <v>0.73853183839948811</v>
      </c>
      <c r="BZ10" s="55"/>
      <c r="CA10" s="51"/>
      <c r="CC10" s="57"/>
    </row>
    <row r="11" spans="1:84" outlineLevel="1" x14ac:dyDescent="0.15">
      <c r="A11" s="46"/>
      <c r="B11" s="46" t="s">
        <v>20</v>
      </c>
      <c r="C11" s="3" t="s">
        <v>145</v>
      </c>
      <c r="D11" s="46">
        <v>218121242</v>
      </c>
      <c r="E11" s="3">
        <v>10</v>
      </c>
      <c r="F11" s="3">
        <v>32</v>
      </c>
      <c r="G11" s="3">
        <v>30</v>
      </c>
      <c r="I11" s="4">
        <f t="shared" si="0"/>
        <v>4.5974775000000001</v>
      </c>
      <c r="J11" s="5">
        <f t="shared" si="1"/>
        <v>2.2482798809663848E-2</v>
      </c>
      <c r="K11" s="5">
        <f t="shared" si="2"/>
        <v>9.7882442829662596E-3</v>
      </c>
      <c r="L11" s="5">
        <f t="shared" si="3"/>
        <v>6.0244659710859336E-3</v>
      </c>
      <c r="M11" s="5">
        <f t="shared" si="4"/>
        <v>1.2694554526697589E-2</v>
      </c>
      <c r="N11" s="46">
        <f t="shared" si="5"/>
        <v>2135024</v>
      </c>
      <c r="O11" s="5">
        <v>-12</v>
      </c>
      <c r="P11" s="6">
        <v>22133832</v>
      </c>
      <c r="Q11" s="6">
        <v>691682.25</v>
      </c>
      <c r="R11" s="6">
        <v>23047.09375</v>
      </c>
      <c r="S11" s="7">
        <v>4903976</v>
      </c>
      <c r="T11" s="7">
        <v>1314064</v>
      </c>
      <c r="U11" s="7">
        <v>820960</v>
      </c>
      <c r="V11" s="7">
        <v>2768952</v>
      </c>
      <c r="W11" s="8">
        <v>67.609459374999901</v>
      </c>
      <c r="X11" s="8">
        <v>69.693121874999903</v>
      </c>
      <c r="Y11" s="8">
        <v>34.251906249999998</v>
      </c>
      <c r="Z11" s="8">
        <v>40.012206249999899</v>
      </c>
      <c r="AA11" s="8">
        <v>33.863571874999998</v>
      </c>
      <c r="AB11" s="9">
        <v>490.67200000000003</v>
      </c>
      <c r="AC11" s="9">
        <v>439.33600000000001</v>
      </c>
      <c r="AD11" s="9">
        <v>1520.53</v>
      </c>
      <c r="AE11" s="9">
        <v>10.484</v>
      </c>
      <c r="AG11" s="4">
        <f t="shared" si="6"/>
        <v>4.5897750000000004</v>
      </c>
      <c r="AH11" s="5">
        <f t="shared" si="7"/>
        <v>2.2445131685065317E-2</v>
      </c>
      <c r="AI11" s="5">
        <f t="shared" si="8"/>
        <v>9.78839099036489E-3</v>
      </c>
      <c r="AJ11" s="5">
        <f t="shared" si="9"/>
        <v>6.0246126784845649E-3</v>
      </c>
      <c r="AK11" s="5">
        <f t="shared" si="10"/>
        <v>1.2656740694700427E-2</v>
      </c>
      <c r="AL11" s="46">
        <f t="shared" si="11"/>
        <v>2135056</v>
      </c>
      <c r="AM11" s="5">
        <v>-12</v>
      </c>
      <c r="AN11" s="6"/>
      <c r="AO11" s="6"/>
      <c r="AP11" s="6"/>
      <c r="AQ11" s="7">
        <v>4895760</v>
      </c>
      <c r="AR11" s="7">
        <v>1314096</v>
      </c>
      <c r="AS11" s="7">
        <v>820960</v>
      </c>
      <c r="AT11" s="7">
        <v>2760704</v>
      </c>
      <c r="AU11" s="8">
        <v>67.604468749999995</v>
      </c>
      <c r="AV11" s="8">
        <v>69.687693749999994</v>
      </c>
      <c r="AW11" s="8">
        <v>34.234709375000001</v>
      </c>
      <c r="AX11" s="8">
        <v>40.036703125000003</v>
      </c>
      <c r="AY11" s="8">
        <v>33.844134374999904</v>
      </c>
      <c r="AZ11" s="9">
        <v>157.691</v>
      </c>
      <c r="BA11" s="9">
        <v>122.22799999999999</v>
      </c>
      <c r="BB11" s="9">
        <v>869.67100000000005</v>
      </c>
      <c r="BC11" s="9">
        <v>10.281000000000001</v>
      </c>
      <c r="BE11" s="44">
        <f t="shared" si="12"/>
        <v>1.0000149881219134</v>
      </c>
      <c r="BF11" s="10" t="e">
        <f t="shared" si="13"/>
        <v>#DIV/0!</v>
      </c>
      <c r="BG11" s="10">
        <f t="shared" si="14"/>
        <v>7.3716161747255926E-4</v>
      </c>
      <c r="BH11" s="10"/>
      <c r="BJ11" s="44"/>
      <c r="BK11" s="44"/>
      <c r="BL11" s="44"/>
      <c r="BM11" s="44"/>
      <c r="BN11" s="44"/>
      <c r="BP11" s="44"/>
      <c r="BQ11" s="44"/>
      <c r="BR11" s="44"/>
      <c r="BS11" s="44"/>
      <c r="BT11" s="44"/>
      <c r="BV11" s="51">
        <f t="shared" si="15"/>
        <v>0.6786223791045749</v>
      </c>
      <c r="BW11" s="51">
        <f t="shared" si="16"/>
        <v>0.72178924558879765</v>
      </c>
      <c r="BX11" s="51">
        <f t="shared" si="17"/>
        <v>0.42804745713665626</v>
      </c>
      <c r="BY11" s="51">
        <f t="shared" si="18"/>
        <v>0.70020581234668633</v>
      </c>
      <c r="BZ11" s="55"/>
      <c r="CA11" s="51"/>
      <c r="CC11" s="57"/>
    </row>
    <row r="12" spans="1:84" outlineLevel="1" x14ac:dyDescent="0.15">
      <c r="A12" s="11"/>
      <c r="B12" s="11" t="s">
        <v>20</v>
      </c>
      <c r="C12" s="12" t="s">
        <v>146</v>
      </c>
      <c r="D12" s="11">
        <v>218121242</v>
      </c>
      <c r="E12" s="12">
        <v>10</v>
      </c>
      <c r="F12" s="12">
        <v>32</v>
      </c>
      <c r="G12" s="12">
        <v>30</v>
      </c>
      <c r="I12" s="13">
        <f t="shared" si="0"/>
        <v>7.1139150000000004</v>
      </c>
      <c r="J12" s="14">
        <f t="shared" si="1"/>
        <v>3.4788798791087025E-2</v>
      </c>
      <c r="K12" s="14">
        <f t="shared" si="2"/>
        <v>1.2487220295582215E-2</v>
      </c>
      <c r="L12" s="14">
        <f t="shared" si="3"/>
        <v>8.7234419837018892E-3</v>
      </c>
      <c r="M12" s="14">
        <f t="shared" si="4"/>
        <v>2.2301578495504806E-2</v>
      </c>
      <c r="N12" s="11">
        <f t="shared" si="5"/>
        <v>2723728</v>
      </c>
      <c r="O12" s="14">
        <v>-12</v>
      </c>
      <c r="P12" s="15">
        <v>22504730</v>
      </c>
      <c r="Q12" s="15">
        <v>703272.8125</v>
      </c>
      <c r="R12" s="15">
        <v>24737.1875</v>
      </c>
      <c r="S12" s="16">
        <v>7588176</v>
      </c>
      <c r="T12" s="16">
        <v>1902768</v>
      </c>
      <c r="U12" s="16">
        <v>820960</v>
      </c>
      <c r="V12" s="16">
        <v>4864448</v>
      </c>
      <c r="W12" s="17">
        <v>68.953246874999905</v>
      </c>
      <c r="X12" s="17">
        <v>71.331493749999893</v>
      </c>
      <c r="Y12" s="17">
        <v>36.335381249999998</v>
      </c>
      <c r="Z12" s="17">
        <v>40.939156249999897</v>
      </c>
      <c r="AA12" s="17">
        <v>35.640265624999898</v>
      </c>
      <c r="AB12" s="18">
        <v>517.66099999999994</v>
      </c>
      <c r="AC12" s="18">
        <v>451.67700000000002</v>
      </c>
      <c r="AD12" s="18">
        <v>1558.5</v>
      </c>
      <c r="AE12" s="18">
        <v>10.39</v>
      </c>
      <c r="AG12" s="13">
        <f t="shared" si="6"/>
        <v>7.1002875000000003</v>
      </c>
      <c r="AH12" s="14">
        <f t="shared" si="7"/>
        <v>3.4722156955258855E-2</v>
      </c>
      <c r="AI12" s="14">
        <f t="shared" si="8"/>
        <v>1.248993438245689E-2</v>
      </c>
      <c r="AJ12" s="14">
        <f t="shared" si="9"/>
        <v>8.7261560705765642E-3</v>
      </c>
      <c r="AK12" s="14">
        <f t="shared" si="10"/>
        <v>2.2232222572801965E-2</v>
      </c>
      <c r="AL12" s="11">
        <f t="shared" si="11"/>
        <v>2724320</v>
      </c>
      <c r="AM12" s="14">
        <v>-12</v>
      </c>
      <c r="AN12" s="15"/>
      <c r="AO12" s="15"/>
      <c r="AP12" s="15"/>
      <c r="AQ12" s="16">
        <v>7573640</v>
      </c>
      <c r="AR12" s="16">
        <v>1903360</v>
      </c>
      <c r="AS12" s="16">
        <v>820960</v>
      </c>
      <c r="AT12" s="16">
        <v>4849320</v>
      </c>
      <c r="AU12" s="17">
        <v>68.950965624999995</v>
      </c>
      <c r="AV12" s="17">
        <v>71.322934374999903</v>
      </c>
      <c r="AW12" s="17">
        <v>36.327940624999897</v>
      </c>
      <c r="AX12" s="17">
        <v>40.939696874999903</v>
      </c>
      <c r="AY12" s="17">
        <v>35.612931250000003</v>
      </c>
      <c r="AZ12" s="18">
        <v>183.05</v>
      </c>
      <c r="BA12" s="18">
        <v>154.869</v>
      </c>
      <c r="BB12" s="18">
        <v>925.39</v>
      </c>
      <c r="BC12" s="18">
        <v>10.265000000000001</v>
      </c>
      <c r="BE12" s="43">
        <f t="shared" si="12"/>
        <v>1.0002173491626183</v>
      </c>
      <c r="BF12" s="19" t="e">
        <f t="shared" si="13"/>
        <v>#DIV/0!</v>
      </c>
      <c r="BG12" s="19">
        <f t="shared" si="14"/>
        <v>7.670823647888958E-4</v>
      </c>
      <c r="BH12" s="19"/>
      <c r="BJ12" s="43"/>
      <c r="BK12" s="43"/>
      <c r="BL12" s="43"/>
      <c r="BM12" s="43"/>
      <c r="BN12" s="43"/>
      <c r="BP12" s="43"/>
      <c r="BQ12" s="43"/>
      <c r="BR12" s="43"/>
      <c r="BS12" s="43"/>
      <c r="BT12" s="43"/>
      <c r="BV12" s="51">
        <f t="shared" si="15"/>
        <v>0.64639020517288337</v>
      </c>
      <c r="BW12" s="51">
        <f t="shared" si="16"/>
        <v>0.65712444955133864</v>
      </c>
      <c r="BX12" s="51">
        <f t="shared" si="17"/>
        <v>0.40623034969521976</v>
      </c>
      <c r="BY12" s="51">
        <f t="shared" si="18"/>
        <v>0.65175732736211101</v>
      </c>
      <c r="BZ12" s="55"/>
      <c r="CA12" s="51"/>
      <c r="CC12" s="57"/>
    </row>
    <row r="13" spans="1:84" outlineLevel="1" x14ac:dyDescent="0.15">
      <c r="A13" s="46"/>
      <c r="B13" s="46" t="s">
        <v>20</v>
      </c>
      <c r="C13" s="3" t="s">
        <v>147</v>
      </c>
      <c r="D13" s="46">
        <v>218121242</v>
      </c>
      <c r="E13" s="3">
        <v>10</v>
      </c>
      <c r="F13" s="3">
        <v>32</v>
      </c>
      <c r="G13" s="3">
        <v>30</v>
      </c>
      <c r="I13" s="4">
        <f t="shared" si="0"/>
        <v>12.0106275</v>
      </c>
      <c r="J13" s="5">
        <f t="shared" si="1"/>
        <v>5.8734930548396569E-2</v>
      </c>
      <c r="K13" s="5">
        <f t="shared" si="2"/>
        <v>1.7163445273248534E-2</v>
      </c>
      <c r="L13" s="5">
        <f t="shared" si="3"/>
        <v>1.339966696136821E-2</v>
      </c>
      <c r="M13" s="5">
        <f t="shared" si="4"/>
        <v>4.1571485275148028E-2</v>
      </c>
      <c r="N13" s="46">
        <f t="shared" si="5"/>
        <v>3743712</v>
      </c>
      <c r="O13" s="5">
        <v>-12</v>
      </c>
      <c r="P13" s="6">
        <v>23275134</v>
      </c>
      <c r="Q13" s="6">
        <v>727347.9375</v>
      </c>
      <c r="R13" s="6">
        <v>27993.34375</v>
      </c>
      <c r="S13" s="7">
        <v>12811336</v>
      </c>
      <c r="T13" s="7">
        <v>2922752</v>
      </c>
      <c r="U13" s="7">
        <v>820960</v>
      </c>
      <c r="V13" s="7">
        <v>9067624</v>
      </c>
      <c r="W13" s="8">
        <v>70.078087499999896</v>
      </c>
      <c r="X13" s="8">
        <v>72.601274999999902</v>
      </c>
      <c r="Y13" s="8">
        <v>38.662809375000002</v>
      </c>
      <c r="Z13" s="8">
        <v>42.1082156249999</v>
      </c>
      <c r="AA13" s="8">
        <v>37.696206249999904</v>
      </c>
      <c r="AB13" s="9">
        <v>557.47799999999995</v>
      </c>
      <c r="AC13" s="9">
        <v>480.03199999999998</v>
      </c>
      <c r="AD13" s="9">
        <v>1627</v>
      </c>
      <c r="AE13" s="9">
        <v>10.25</v>
      </c>
      <c r="AG13" s="4">
        <f t="shared" si="6"/>
        <v>11.9680275</v>
      </c>
      <c r="AH13" s="5">
        <f t="shared" si="7"/>
        <v>5.8526606042340432E-2</v>
      </c>
      <c r="AI13" s="5">
        <f t="shared" si="8"/>
        <v>1.7123944306167118E-2</v>
      </c>
      <c r="AJ13" s="5">
        <f t="shared" si="9"/>
        <v>1.3360165994286792E-2</v>
      </c>
      <c r="AK13" s="5">
        <f t="shared" si="10"/>
        <v>4.1402661736173317E-2</v>
      </c>
      <c r="AL13" s="46">
        <f t="shared" si="11"/>
        <v>3735096</v>
      </c>
      <c r="AM13" s="5">
        <v>-12</v>
      </c>
      <c r="AN13" s="6"/>
      <c r="AO13" s="6"/>
      <c r="AP13" s="6"/>
      <c r="AQ13" s="7">
        <v>12765896</v>
      </c>
      <c r="AR13" s="7">
        <v>2914136</v>
      </c>
      <c r="AS13" s="7">
        <v>820960</v>
      </c>
      <c r="AT13" s="7">
        <v>9030800</v>
      </c>
      <c r="AU13" s="8">
        <v>70.081249999999898</v>
      </c>
      <c r="AV13" s="8">
        <v>72.607875000000007</v>
      </c>
      <c r="AW13" s="8">
        <v>38.643206249999999</v>
      </c>
      <c r="AX13" s="8">
        <v>42.106996875</v>
      </c>
      <c r="AY13" s="8">
        <v>37.679118750000001</v>
      </c>
      <c r="AZ13" s="9">
        <v>246.85599999999999</v>
      </c>
      <c r="BA13" s="9">
        <v>196.857</v>
      </c>
      <c r="BB13" s="9">
        <v>1034.77</v>
      </c>
      <c r="BC13" s="9">
        <v>10.218</v>
      </c>
      <c r="BE13" s="44">
        <f t="shared" si="12"/>
        <v>0.99769854091340371</v>
      </c>
      <c r="BF13" s="10" t="e">
        <f t="shared" si="13"/>
        <v>#DIV/0!</v>
      </c>
      <c r="BG13" s="10">
        <f t="shared" si="14"/>
        <v>3.6522449353698638E-4</v>
      </c>
      <c r="BH13" s="10"/>
      <c r="BJ13" s="44"/>
      <c r="BK13" s="44"/>
      <c r="BL13" s="44"/>
      <c r="BM13" s="44"/>
      <c r="BN13" s="44"/>
      <c r="BP13" s="44"/>
      <c r="BQ13" s="44"/>
      <c r="BR13" s="44"/>
      <c r="BS13" s="44"/>
      <c r="BT13" s="44"/>
      <c r="BV13" s="51">
        <f t="shared" si="15"/>
        <v>0.55719149455225137</v>
      </c>
      <c r="BW13" s="51">
        <f t="shared" si="16"/>
        <v>0.58990858942737145</v>
      </c>
      <c r="BX13" s="51">
        <f t="shared" si="17"/>
        <v>0.36400122925629996</v>
      </c>
      <c r="BY13" s="51">
        <f t="shared" si="18"/>
        <v>0.57355004198981141</v>
      </c>
      <c r="BZ13" s="55"/>
      <c r="CA13" s="51"/>
      <c r="CC13" s="57"/>
    </row>
    <row r="14" spans="1:84" ht="14.25" outlineLevel="1" thickBot="1" x14ac:dyDescent="0.2">
      <c r="A14" s="11"/>
      <c r="B14" s="30" t="s">
        <v>20</v>
      </c>
      <c r="C14" s="31" t="s">
        <v>148</v>
      </c>
      <c r="D14" s="30">
        <v>218121242</v>
      </c>
      <c r="E14" s="31">
        <v>10</v>
      </c>
      <c r="F14" s="31">
        <v>32</v>
      </c>
      <c r="G14" s="31">
        <v>30</v>
      </c>
      <c r="I14" s="32">
        <f t="shared" si="0"/>
        <v>21.562027499999999</v>
      </c>
      <c r="J14" s="33">
        <f t="shared" si="1"/>
        <v>0.10544363212455943</v>
      </c>
      <c r="K14" s="33">
        <f t="shared" si="2"/>
        <v>2.8264354005466372E-2</v>
      </c>
      <c r="L14" s="33">
        <f t="shared" si="3"/>
        <v>2.1175159088815385E-2</v>
      </c>
      <c r="M14" s="33">
        <f t="shared" si="4"/>
        <v>7.7179278119093045E-2</v>
      </c>
      <c r="N14" s="30">
        <f t="shared" si="5"/>
        <v>6165056</v>
      </c>
      <c r="O14" s="33">
        <v>-12</v>
      </c>
      <c r="P14" s="34">
        <v>22108568</v>
      </c>
      <c r="Q14" s="34">
        <v>690892.75</v>
      </c>
      <c r="R14" s="34">
        <v>13255.34375</v>
      </c>
      <c r="S14" s="35">
        <v>22999496</v>
      </c>
      <c r="T14" s="35">
        <v>4618752</v>
      </c>
      <c r="U14" s="35">
        <v>1546304</v>
      </c>
      <c r="V14" s="35">
        <v>16834440</v>
      </c>
      <c r="W14" s="36">
        <v>70.921371874999906</v>
      </c>
      <c r="X14" s="36">
        <v>74.713256250000001</v>
      </c>
      <c r="Y14" s="36">
        <v>40.916131249999999</v>
      </c>
      <c r="Z14" s="36">
        <v>43.428543749999903</v>
      </c>
      <c r="AA14" s="36">
        <v>39.494587500000002</v>
      </c>
      <c r="AB14" s="37">
        <v>598.178</v>
      </c>
      <c r="AC14" s="37">
        <v>538.14099999999996</v>
      </c>
      <c r="AD14" s="37">
        <v>1743.52</v>
      </c>
      <c r="AE14" s="37">
        <v>10.375</v>
      </c>
      <c r="AG14" s="32">
        <f t="shared" si="6"/>
        <v>21.509527500000001</v>
      </c>
      <c r="AH14" s="33">
        <f t="shared" si="7"/>
        <v>0.10518689417695504</v>
      </c>
      <c r="AI14" s="33">
        <f t="shared" si="8"/>
        <v>2.8215023642676671E-2</v>
      </c>
      <c r="AJ14" s="33">
        <f t="shared" si="9"/>
        <v>2.1125828726025683E-2</v>
      </c>
      <c r="AK14" s="33">
        <f t="shared" si="10"/>
        <v>7.6971870534278369E-2</v>
      </c>
      <c r="AL14" s="30">
        <f t="shared" si="11"/>
        <v>6154296</v>
      </c>
      <c r="AM14" s="33">
        <v>-12</v>
      </c>
      <c r="AN14" s="34"/>
      <c r="AO14" s="34"/>
      <c r="AP14" s="34"/>
      <c r="AQ14" s="35">
        <v>22943496</v>
      </c>
      <c r="AR14" s="35">
        <v>4607992</v>
      </c>
      <c r="AS14" s="35">
        <v>1546304</v>
      </c>
      <c r="AT14" s="35">
        <v>16789200</v>
      </c>
      <c r="AU14" s="36">
        <v>70.921343749999906</v>
      </c>
      <c r="AV14" s="36">
        <v>74.704146875000006</v>
      </c>
      <c r="AW14" s="36">
        <v>40.897278125</v>
      </c>
      <c r="AX14" s="36">
        <v>43.424709374999999</v>
      </c>
      <c r="AY14" s="36">
        <v>39.484040624999999</v>
      </c>
      <c r="AZ14" s="37">
        <v>362.06599999999997</v>
      </c>
      <c r="BA14" s="37">
        <v>281.12200000000001</v>
      </c>
      <c r="BB14" s="37">
        <v>1250.7</v>
      </c>
      <c r="BC14" s="37">
        <v>10.468</v>
      </c>
      <c r="BE14" s="38">
        <f t="shared" si="12"/>
        <v>0.99825467927623035</v>
      </c>
      <c r="BF14" s="39" t="e">
        <f t="shared" si="13"/>
        <v>#DIV/0!</v>
      </c>
      <c r="BG14" s="39">
        <f t="shared" si="14"/>
        <v>1.8527691093550569E-4</v>
      </c>
      <c r="BH14" s="39"/>
      <c r="BJ14" s="38"/>
      <c r="BK14" s="38"/>
      <c r="BL14" s="38"/>
      <c r="BM14" s="38"/>
      <c r="BN14" s="38"/>
      <c r="BP14" s="38"/>
      <c r="BQ14" s="38"/>
      <c r="BR14" s="38"/>
      <c r="BS14" s="38"/>
      <c r="BT14" s="38"/>
      <c r="BV14" s="51">
        <f t="shared" si="15"/>
        <v>0.39471862890310244</v>
      </c>
      <c r="BW14" s="51">
        <f t="shared" si="16"/>
        <v>0.47760531161907377</v>
      </c>
      <c r="BX14" s="51">
        <f t="shared" si="17"/>
        <v>0.28265807102872348</v>
      </c>
      <c r="BY14" s="51">
        <f t="shared" si="18"/>
        <v>0.43616197026108811</v>
      </c>
      <c r="BZ14" s="55">
        <f t="shared" ref="BZ14:CA14" si="20">AVERAGE(BV10:BV14)</f>
        <v>0.60181797172797014</v>
      </c>
      <c r="CA14" s="51">
        <f t="shared" si="20"/>
        <v>0.63826482441570387</v>
      </c>
      <c r="CB14" s="51">
        <f>AVERAGE(BX10:BX14)</f>
        <v>0.38528164437765222</v>
      </c>
      <c r="CC14" s="58">
        <f>AVERAGE(BY10:BY14)</f>
        <v>0.62004139807183711</v>
      </c>
      <c r="CD14" s="51">
        <f>(SUM(AB10:AB14)-SUM(AZ10:AZ14))/SUM(AB10:AB14)</f>
        <v>0.59145456045621103</v>
      </c>
      <c r="CE14" s="51">
        <f>(SUM(AC10:AC14)-SUM(BA10:BA14))/SUM(AC10:AC14)</f>
        <v>0.63017207211603077</v>
      </c>
      <c r="CF14" s="51">
        <f>(SUM(AB10:AC14)-SUM(AZ10:BA14))/SUM(AB10:AC14)</f>
        <v>0.60966861625130853</v>
      </c>
    </row>
    <row r="15" spans="1:84" x14ac:dyDescent="0.15">
      <c r="A15" s="46"/>
      <c r="B15" s="46" t="s">
        <v>23</v>
      </c>
      <c r="C15" s="3" t="s">
        <v>144</v>
      </c>
      <c r="D15" s="46">
        <v>322589704</v>
      </c>
      <c r="E15" s="3">
        <v>10</v>
      </c>
      <c r="F15" s="3">
        <v>32</v>
      </c>
      <c r="G15" s="3">
        <v>30</v>
      </c>
      <c r="I15" s="4">
        <f t="shared" si="0"/>
        <v>4.4048550000000004</v>
      </c>
      <c r="J15" s="5">
        <f t="shared" si="1"/>
        <v>1.4564978180456744E-2</v>
      </c>
      <c r="K15" s="5">
        <f t="shared" si="2"/>
        <v>8.2289049126006829E-3</v>
      </c>
      <c r="L15" s="5">
        <f t="shared" si="3"/>
        <v>4.3908902932624288E-3</v>
      </c>
      <c r="M15" s="5">
        <f t="shared" si="4"/>
        <v>6.3360732678560631E-3</v>
      </c>
      <c r="N15" s="46">
        <f t="shared" si="5"/>
        <v>2654560</v>
      </c>
      <c r="O15" s="5">
        <v>-12</v>
      </c>
      <c r="P15" s="6">
        <v>30898742</v>
      </c>
      <c r="Q15" s="6">
        <v>965585.6875</v>
      </c>
      <c r="R15" s="6">
        <v>27935.75</v>
      </c>
      <c r="S15" s="7">
        <v>4698512</v>
      </c>
      <c r="T15" s="7">
        <v>1416456</v>
      </c>
      <c r="U15" s="7">
        <v>1238104</v>
      </c>
      <c r="V15" s="7">
        <v>2043952</v>
      </c>
      <c r="W15" s="8">
        <v>65.895415624999998</v>
      </c>
      <c r="X15" s="8">
        <v>67.664484375000001</v>
      </c>
      <c r="Y15" s="8">
        <v>29.421203125000002</v>
      </c>
      <c r="Z15" s="8">
        <v>43.104725000000002</v>
      </c>
      <c r="AA15" s="8">
        <v>43.299262499999998</v>
      </c>
      <c r="AB15" s="9">
        <v>475.726</v>
      </c>
      <c r="AC15" s="9">
        <v>417.60199999999998</v>
      </c>
      <c r="AD15" s="9">
        <v>1775.77</v>
      </c>
      <c r="AE15" s="9">
        <v>10.093</v>
      </c>
      <c r="AG15" s="4">
        <f t="shared" si="6"/>
        <v>4.4032499999999999</v>
      </c>
      <c r="AH15" s="5">
        <f t="shared" si="7"/>
        <v>1.4559671129491473E-2</v>
      </c>
      <c r="AI15" s="5">
        <f t="shared" si="8"/>
        <v>8.2242674428319642E-3</v>
      </c>
      <c r="AJ15" s="5">
        <f t="shared" si="9"/>
        <v>4.3862528234937092E-3</v>
      </c>
      <c r="AK15" s="5">
        <f t="shared" si="10"/>
        <v>6.3354036866595095E-3</v>
      </c>
      <c r="AL15" s="46">
        <f t="shared" si="11"/>
        <v>2653064</v>
      </c>
      <c r="AM15" s="5">
        <v>-12</v>
      </c>
      <c r="AN15" s="6"/>
      <c r="AO15" s="6"/>
      <c r="AP15" s="6"/>
      <c r="AQ15" s="7">
        <v>4696800</v>
      </c>
      <c r="AR15" s="7">
        <v>1414960</v>
      </c>
      <c r="AS15" s="7">
        <v>1238104</v>
      </c>
      <c r="AT15" s="7">
        <v>2043736</v>
      </c>
      <c r="AU15" s="8">
        <v>65.897956249999993</v>
      </c>
      <c r="AV15" s="8">
        <v>67.635228124999998</v>
      </c>
      <c r="AW15" s="8">
        <v>29.417231249999901</v>
      </c>
      <c r="AX15" s="8">
        <v>43.148740625000002</v>
      </c>
      <c r="AY15" s="8">
        <v>43.311590625000001</v>
      </c>
      <c r="AZ15" s="9">
        <v>144.93199999999999</v>
      </c>
      <c r="BA15" s="9">
        <v>159.53100000000001</v>
      </c>
      <c r="BB15" s="9">
        <v>1173.05</v>
      </c>
      <c r="BC15" s="9">
        <v>9.89</v>
      </c>
      <c r="BE15" s="44">
        <f t="shared" si="12"/>
        <v>0.99943644144415644</v>
      </c>
      <c r="BF15" s="10" t="e">
        <f t="shared" si="13"/>
        <v>#DIV/0!</v>
      </c>
      <c r="BG15" s="10">
        <f t="shared" si="14"/>
        <v>-1.125779625960055E-4</v>
      </c>
      <c r="BH15" s="10">
        <f t="array" ref="BH15">AVERAGE(AL15:AL19/AQ15:AQ19) - AVERAGE(N15:N19/S15:S19)</f>
        <v>1.2679003744370254E-4</v>
      </c>
      <c r="BJ15" s="44">
        <f>IF( OR(ISBLANK(N15:N19),ISBLANK(AL15:AL19), ISBLANK(W15:W19),ISBLANK(AU15:AU19)), "·", bdRateExtend( N15:N19,W15:W19, AL15:AL19,AU15:AU19))</f>
        <v>-4.5332556788513223E-4</v>
      </c>
      <c r="BK15" s="44">
        <f>IF( OR(ISBLANK(N15:N19),ISBLANK(AL15:AL19), ISBLANK(X15:X19),ISBLANK(AV15:AV19)), "·", bdRateExtend( N15:N19,X15:X19, AL15:AL19,AV15:AV19))</f>
        <v>7.3228134227942832E-4</v>
      </c>
      <c r="BL15" s="44">
        <f>IF( OR(ISBLANK(V15:V19),ISBLANK(AT15:AT19), ISBLANK(Y15:Y19),ISBLANK(AW15:AW19)), "·", bdRateExtend( V15:V19,Y15:Y19, AT15:AT19,AW15:AW19))</f>
        <v>1.3763198566612012E-3</v>
      </c>
      <c r="BM15" s="44">
        <f>IF( OR(ISBLANK(V15:V19),ISBLANK(AT15:AT19), ISBLANK(Z15:Z19),ISBLANK(AX15:AX19)), "·", bdRateExtend( V15:V19,Z15:Z19, AT15:AT19,AX15:AX19))</f>
        <v>-6.9410295453319337E-3</v>
      </c>
      <c r="BN15" s="44">
        <f>IF( OR(ISBLANK(V15:V19),ISBLANK(AT15:AT19), ISBLANK(AA15:AA19),ISBLANK(AY15:AY19)), "·", bdRateExtend( V15:V19,AA15:AA19, AT15:AT19,AY15:AY19))</f>
        <v>-9.927770223073229E-3</v>
      </c>
      <c r="BP15" s="44">
        <f>IF( OR(ISBLANK(S15:S19),ISBLANK(AQ15:AQ19), ISBLANK(W15:W19),ISBLANK(AU15:AU19)), "·", bdRateExtend( S15:S19,W15:W19, AQ15:AQ19,AU15:AU19))</f>
        <v>-3.7025760358988524E-4</v>
      </c>
      <c r="BQ15" s="44">
        <f>IF( OR(ISBLANK(S15:S19),ISBLANK(AQ15:AQ19), ISBLANK(X15:X19),ISBLANK(AV15:AV19)), "·", bdRateExtend( S15:S19,X15:X19, AQ15:AQ19,AV15:AV19))</f>
        <v>1.5676154102193252E-3</v>
      </c>
      <c r="BR15" s="44">
        <f>IF( OR(ISBLANK(S15:S19),ISBLANK(AQ15:AQ19), ISBLANK(Y15:Y19),ISBLANK(AW15:AW19)), "·", bdRateExtend( S15:S19,Y15:Y19, AQ15:AQ19,AW15:AW19))</f>
        <v>1.0944778564909718E-3</v>
      </c>
      <c r="BS15" s="44">
        <f>IF( OR(ISBLANK(S15:S19),ISBLANK(AQ15:AQ19), ISBLANK(Z15:Z19),ISBLANK(AX15:AX19)), "·", bdRateExtend( S15:S19,Z15:Z19, AQ15:AQ19,AX15:AX19))</f>
        <v>-4.6583501387813531E-3</v>
      </c>
      <c r="BT15" s="44">
        <f>IF( OR(ISBLANK(S15:S19),ISBLANK(AQ15:AQ19), ISBLANK(AA15:AA19),ISBLANK(AY15:AY19)), "·", bdRateExtend( S15:S19,AA15:AA19, AQ15:AQ19,AY15:AY19))</f>
        <v>-7.7872520406203627E-3</v>
      </c>
      <c r="BV15" s="51">
        <f t="shared" si="15"/>
        <v>0.69534564013738998</v>
      </c>
      <c r="BW15" s="51">
        <f t="shared" si="16"/>
        <v>0.61798315142168858</v>
      </c>
      <c r="BX15" s="51">
        <f t="shared" si="17"/>
        <v>0.33941332492383586</v>
      </c>
      <c r="BY15" s="51">
        <f t="shared" si="18"/>
        <v>0.65666439577953928</v>
      </c>
      <c r="BZ15" s="55"/>
      <c r="CA15" s="51"/>
      <c r="CC15" s="57"/>
    </row>
    <row r="16" spans="1:84" outlineLevel="1" x14ac:dyDescent="0.15">
      <c r="A16" s="11"/>
      <c r="B16" s="11" t="s">
        <v>23</v>
      </c>
      <c r="C16" s="12" t="s">
        <v>145</v>
      </c>
      <c r="D16" s="11">
        <v>322589704</v>
      </c>
      <c r="E16" s="12">
        <v>10</v>
      </c>
      <c r="F16" s="12">
        <v>32</v>
      </c>
      <c r="G16" s="12">
        <v>30</v>
      </c>
      <c r="I16" s="13">
        <f t="shared" si="0"/>
        <v>7.0023150000000003</v>
      </c>
      <c r="J16" s="14">
        <f t="shared" si="1"/>
        <v>2.3153671389338576E-2</v>
      </c>
      <c r="K16" s="14">
        <f t="shared" si="2"/>
        <v>1.0043048367098536E-2</v>
      </c>
      <c r="L16" s="14">
        <f t="shared" si="3"/>
        <v>6.2050337477602821E-3</v>
      </c>
      <c r="M16" s="14">
        <f t="shared" si="4"/>
        <v>1.311062302224004E-2</v>
      </c>
      <c r="N16" s="11">
        <f t="shared" si="5"/>
        <v>3239784</v>
      </c>
      <c r="O16" s="14">
        <v>-12</v>
      </c>
      <c r="P16" s="15">
        <v>33174723</v>
      </c>
      <c r="Q16" s="15">
        <v>1036710.09375</v>
      </c>
      <c r="R16" s="15">
        <v>34658.125</v>
      </c>
      <c r="S16" s="16">
        <v>7469136</v>
      </c>
      <c r="T16" s="16">
        <v>2001680</v>
      </c>
      <c r="U16" s="16">
        <v>1238104</v>
      </c>
      <c r="V16" s="16">
        <v>4229352</v>
      </c>
      <c r="W16" s="17">
        <v>67.721312499999996</v>
      </c>
      <c r="X16" s="17">
        <v>69.756862499999997</v>
      </c>
      <c r="Y16" s="17">
        <v>31.811240625</v>
      </c>
      <c r="Z16" s="17">
        <v>43.961996874999997</v>
      </c>
      <c r="AA16" s="17">
        <v>44.231640624999997</v>
      </c>
      <c r="AB16" s="18">
        <v>520.83500000000004</v>
      </c>
      <c r="AC16" s="18">
        <v>431.221</v>
      </c>
      <c r="AD16" s="18">
        <v>1836.77</v>
      </c>
      <c r="AE16" s="18">
        <v>9.843</v>
      </c>
      <c r="AG16" s="13">
        <f t="shared" si="6"/>
        <v>6.9955125000000002</v>
      </c>
      <c r="AH16" s="14">
        <f t="shared" si="7"/>
        <v>2.3131178420995109E-2</v>
      </c>
      <c r="AI16" s="14">
        <f t="shared" si="8"/>
        <v>1.0028838366149467E-2</v>
      </c>
      <c r="AJ16" s="14">
        <f t="shared" si="9"/>
        <v>6.1908237468112125E-3</v>
      </c>
      <c r="AK16" s="14">
        <f t="shared" si="10"/>
        <v>1.3102340054845644E-2</v>
      </c>
      <c r="AL16" s="11">
        <f t="shared" si="11"/>
        <v>3235200</v>
      </c>
      <c r="AM16" s="14">
        <v>-12</v>
      </c>
      <c r="AN16" s="15"/>
      <c r="AO16" s="15"/>
      <c r="AP16" s="15"/>
      <c r="AQ16" s="16">
        <v>7461880</v>
      </c>
      <c r="AR16" s="16">
        <v>1997096</v>
      </c>
      <c r="AS16" s="16">
        <v>1238104</v>
      </c>
      <c r="AT16" s="16">
        <v>4226680</v>
      </c>
      <c r="AU16" s="17">
        <v>67.710890624999905</v>
      </c>
      <c r="AV16" s="17">
        <v>69.746087500000002</v>
      </c>
      <c r="AW16" s="17">
        <v>31.804881250000001</v>
      </c>
      <c r="AX16" s="17">
        <v>43.983328125</v>
      </c>
      <c r="AY16" s="17">
        <v>44.258846874999897</v>
      </c>
      <c r="AZ16" s="18">
        <v>190.82599999999999</v>
      </c>
      <c r="BA16" s="18">
        <v>180.69300000000001</v>
      </c>
      <c r="BB16" s="18">
        <v>1242.94</v>
      </c>
      <c r="BC16" s="18">
        <v>9.9369999999999994</v>
      </c>
      <c r="BE16" s="43">
        <f t="shared" si="12"/>
        <v>0.99858509085790903</v>
      </c>
      <c r="BF16" s="19" t="e">
        <f t="shared" si="13"/>
        <v>#DIV/0!</v>
      </c>
      <c r="BG16" s="19">
        <f t="shared" si="14"/>
        <v>-1.9253392711421347E-4</v>
      </c>
      <c r="BH16" s="19"/>
      <c r="BJ16" s="43"/>
      <c r="BK16" s="43"/>
      <c r="BL16" s="43"/>
      <c r="BM16" s="43"/>
      <c r="BN16" s="43"/>
      <c r="BP16" s="43"/>
      <c r="BQ16" s="43"/>
      <c r="BR16" s="43"/>
      <c r="BS16" s="43"/>
      <c r="BT16" s="43"/>
      <c r="BV16" s="51">
        <f t="shared" si="15"/>
        <v>0.63361525243119221</v>
      </c>
      <c r="BW16" s="51">
        <f t="shared" si="16"/>
        <v>0.58097356112063181</v>
      </c>
      <c r="BX16" s="51">
        <f t="shared" si="17"/>
        <v>0.32330122987635901</v>
      </c>
      <c r="BY16" s="51">
        <f t="shared" si="18"/>
        <v>0.60729440677591207</v>
      </c>
      <c r="BZ16" s="55"/>
      <c r="CA16" s="51"/>
      <c r="CC16" s="57"/>
    </row>
    <row r="17" spans="1:84" outlineLevel="1" x14ac:dyDescent="0.15">
      <c r="A17" s="46"/>
      <c r="B17" s="46" t="s">
        <v>23</v>
      </c>
      <c r="C17" s="3" t="s">
        <v>146</v>
      </c>
      <c r="D17" s="46">
        <v>322589704</v>
      </c>
      <c r="E17" s="3">
        <v>10</v>
      </c>
      <c r="F17" s="3">
        <v>32</v>
      </c>
      <c r="G17" s="3">
        <v>30</v>
      </c>
      <c r="I17" s="4">
        <f t="shared" si="0"/>
        <v>11.682667500000001</v>
      </c>
      <c r="J17" s="5">
        <f t="shared" si="1"/>
        <v>3.8629602388053901E-2</v>
      </c>
      <c r="K17" s="5">
        <f t="shared" si="2"/>
        <v>1.2780990679107353E-2</v>
      </c>
      <c r="L17" s="5">
        <f t="shared" si="3"/>
        <v>8.9429760597690994E-3</v>
      </c>
      <c r="M17" s="5">
        <f t="shared" si="4"/>
        <v>2.5848611708946544E-2</v>
      </c>
      <c r="N17" s="46">
        <f t="shared" si="5"/>
        <v>4123016</v>
      </c>
      <c r="O17" s="5">
        <v>-12</v>
      </c>
      <c r="P17" s="6">
        <v>33536779</v>
      </c>
      <c r="Q17" s="6">
        <v>1048024.34375</v>
      </c>
      <c r="R17" s="6">
        <v>36443.15625</v>
      </c>
      <c r="S17" s="7">
        <v>12461512</v>
      </c>
      <c r="T17" s="7">
        <v>2884912</v>
      </c>
      <c r="U17" s="7">
        <v>1238104</v>
      </c>
      <c r="V17" s="7">
        <v>8338496</v>
      </c>
      <c r="W17" s="8">
        <v>69.122003125000006</v>
      </c>
      <c r="X17" s="8">
        <v>71.601190624999902</v>
      </c>
      <c r="Y17" s="8">
        <v>34.352246874999999</v>
      </c>
      <c r="Z17" s="8">
        <v>44.816187499999998</v>
      </c>
      <c r="AA17" s="8">
        <v>45.212228124999903</v>
      </c>
      <c r="AB17" s="9">
        <v>560.51199999999994</v>
      </c>
      <c r="AC17" s="9">
        <v>465.22800000000001</v>
      </c>
      <c r="AD17" s="9">
        <v>1911.09</v>
      </c>
      <c r="AE17" s="9">
        <v>9.75</v>
      </c>
      <c r="AG17" s="4">
        <f t="shared" si="6"/>
        <v>11.66649</v>
      </c>
      <c r="AH17" s="5">
        <f t="shared" si="7"/>
        <v>3.8576110290240384E-2</v>
      </c>
      <c r="AI17" s="5">
        <f t="shared" si="8"/>
        <v>1.2776229212820754E-2</v>
      </c>
      <c r="AJ17" s="5">
        <f t="shared" si="9"/>
        <v>8.9382145934824991E-3</v>
      </c>
      <c r="AK17" s="5">
        <f t="shared" si="10"/>
        <v>2.579988107741963E-2</v>
      </c>
      <c r="AL17" s="46">
        <f t="shared" si="11"/>
        <v>4121480</v>
      </c>
      <c r="AM17" s="5">
        <v>-12</v>
      </c>
      <c r="AN17" s="6"/>
      <c r="AO17" s="6"/>
      <c r="AP17" s="6"/>
      <c r="AQ17" s="7">
        <v>12444256</v>
      </c>
      <c r="AR17" s="7">
        <v>2883376</v>
      </c>
      <c r="AS17" s="7">
        <v>1238104</v>
      </c>
      <c r="AT17" s="7">
        <v>8322776</v>
      </c>
      <c r="AU17" s="8">
        <v>69.126587499999999</v>
      </c>
      <c r="AV17" s="8">
        <v>71.585359374999996</v>
      </c>
      <c r="AW17" s="8">
        <v>34.338334375000002</v>
      </c>
      <c r="AX17" s="8">
        <v>44.809543749999897</v>
      </c>
      <c r="AY17" s="8">
        <v>45.206087499999903</v>
      </c>
      <c r="AZ17" s="9">
        <v>227.64500000000001</v>
      </c>
      <c r="BA17" s="9">
        <v>222.84100000000001</v>
      </c>
      <c r="BB17" s="9">
        <v>1323.77</v>
      </c>
      <c r="BC17" s="9">
        <v>9.7959999999999994</v>
      </c>
      <c r="BE17" s="44">
        <f t="shared" si="12"/>
        <v>0.99962745718182999</v>
      </c>
      <c r="BF17" s="10" t="e">
        <f t="shared" si="13"/>
        <v>#DIV/0!</v>
      </c>
      <c r="BG17" s="10">
        <f t="shared" si="14"/>
        <v>3.3536117815491373E-4</v>
      </c>
      <c r="BH17" s="10"/>
      <c r="BJ17" s="44"/>
      <c r="BK17" s="44"/>
      <c r="BL17" s="44"/>
      <c r="BM17" s="44"/>
      <c r="BN17" s="44"/>
      <c r="BP17" s="44"/>
      <c r="BQ17" s="44"/>
      <c r="BR17" s="44"/>
      <c r="BS17" s="44"/>
      <c r="BT17" s="44"/>
      <c r="BV17" s="51">
        <f t="shared" si="15"/>
        <v>0.593862397236812</v>
      </c>
      <c r="BW17" s="51">
        <f t="shared" si="16"/>
        <v>0.5210069041416252</v>
      </c>
      <c r="BX17" s="51">
        <f t="shared" si="17"/>
        <v>0.30732199948720362</v>
      </c>
      <c r="BY17" s="51">
        <f t="shared" si="18"/>
        <v>0.5574346506892186</v>
      </c>
      <c r="BZ17" s="55"/>
      <c r="CA17" s="51"/>
      <c r="CC17" s="57"/>
    </row>
    <row r="18" spans="1:84" outlineLevel="1" x14ac:dyDescent="0.15">
      <c r="A18" s="11"/>
      <c r="B18" s="11" t="s">
        <v>23</v>
      </c>
      <c r="C18" s="12" t="s">
        <v>147</v>
      </c>
      <c r="D18" s="11">
        <v>322589704</v>
      </c>
      <c r="E18" s="12">
        <v>10</v>
      </c>
      <c r="F18" s="12">
        <v>32</v>
      </c>
      <c r="G18" s="12">
        <v>30</v>
      </c>
      <c r="I18" s="13">
        <f t="shared" si="0"/>
        <v>20.167642499999999</v>
      </c>
      <c r="J18" s="14">
        <f t="shared" si="1"/>
        <v>6.6685798502732124E-2</v>
      </c>
      <c r="K18" s="14">
        <f t="shared" si="2"/>
        <v>1.7280179531086338E-2</v>
      </c>
      <c r="L18" s="14">
        <f t="shared" si="3"/>
        <v>1.3442164911748083E-2</v>
      </c>
      <c r="M18" s="14">
        <f t="shared" si="4"/>
        <v>4.940561897164579E-2</v>
      </c>
      <c r="N18" s="11">
        <f t="shared" si="5"/>
        <v>5574408</v>
      </c>
      <c r="O18" s="14">
        <v>-12</v>
      </c>
      <c r="P18" s="15">
        <v>34802045</v>
      </c>
      <c r="Q18" s="15">
        <v>1087563.90625</v>
      </c>
      <c r="R18" s="15">
        <v>40924.21875</v>
      </c>
      <c r="S18" s="16">
        <v>21512152</v>
      </c>
      <c r="T18" s="16">
        <v>4336304</v>
      </c>
      <c r="U18" s="16">
        <v>1238104</v>
      </c>
      <c r="V18" s="16">
        <v>15937744</v>
      </c>
      <c r="W18" s="17">
        <v>70.369831250000004</v>
      </c>
      <c r="X18" s="17">
        <v>72.947381249999907</v>
      </c>
      <c r="Y18" s="17">
        <v>37.033359375000003</v>
      </c>
      <c r="Z18" s="17">
        <v>46.129693750000001</v>
      </c>
      <c r="AA18" s="17">
        <v>46.645259375000002</v>
      </c>
      <c r="AB18" s="18">
        <v>607.78800000000001</v>
      </c>
      <c r="AC18" s="18">
        <v>537.05799999999999</v>
      </c>
      <c r="AD18" s="18">
        <v>2033.27</v>
      </c>
      <c r="AE18" s="18">
        <v>9.8119999999999994</v>
      </c>
      <c r="AG18" s="13">
        <f t="shared" si="6"/>
        <v>20.127067499999999</v>
      </c>
      <c r="AH18" s="14">
        <f t="shared" si="7"/>
        <v>6.6551634270385768E-2</v>
      </c>
      <c r="AI18" s="14">
        <f t="shared" si="8"/>
        <v>1.727727801256794E-2</v>
      </c>
      <c r="AJ18" s="14">
        <f t="shared" si="9"/>
        <v>1.3439263393229687E-2</v>
      </c>
      <c r="AK18" s="14">
        <f t="shared" si="10"/>
        <v>4.9274356257817828E-2</v>
      </c>
      <c r="AL18" s="11">
        <f t="shared" si="11"/>
        <v>5573472</v>
      </c>
      <c r="AM18" s="14">
        <v>-12</v>
      </c>
      <c r="AN18" s="15"/>
      <c r="AO18" s="15"/>
      <c r="AP18" s="15"/>
      <c r="AQ18" s="16">
        <v>21468872</v>
      </c>
      <c r="AR18" s="16">
        <v>4335368</v>
      </c>
      <c r="AS18" s="16">
        <v>1238104</v>
      </c>
      <c r="AT18" s="16">
        <v>15895400</v>
      </c>
      <c r="AU18" s="17">
        <v>70.366787499999901</v>
      </c>
      <c r="AV18" s="17">
        <v>72.943606250000002</v>
      </c>
      <c r="AW18" s="17">
        <v>37.017734375000003</v>
      </c>
      <c r="AX18" s="17">
        <v>46.130346874999901</v>
      </c>
      <c r="AY18" s="17">
        <v>46.671268749999903</v>
      </c>
      <c r="AZ18" s="18">
        <v>322.53399999999999</v>
      </c>
      <c r="BA18" s="18">
        <v>316.952</v>
      </c>
      <c r="BB18" s="18">
        <v>1518.69</v>
      </c>
      <c r="BC18" s="18">
        <v>9.9060000000000006</v>
      </c>
      <c r="BE18" s="43">
        <f t="shared" si="12"/>
        <v>0.99983208979321203</v>
      </c>
      <c r="BF18" s="19" t="e">
        <f t="shared" si="13"/>
        <v>#DIV/0!</v>
      </c>
      <c r="BG18" s="19">
        <f t="shared" si="14"/>
        <v>4.7878966706782489E-4</v>
      </c>
      <c r="BH18" s="19"/>
      <c r="BJ18" s="43"/>
      <c r="BK18" s="43"/>
      <c r="BL18" s="43"/>
      <c r="BM18" s="43"/>
      <c r="BN18" s="43"/>
      <c r="BP18" s="43"/>
      <c r="BQ18" s="43"/>
      <c r="BR18" s="43"/>
      <c r="BS18" s="43"/>
      <c r="BT18" s="43"/>
      <c r="BV18" s="51">
        <f t="shared" si="15"/>
        <v>0.46933141161062741</v>
      </c>
      <c r="BW18" s="51">
        <f t="shared" si="16"/>
        <v>0.4098365539662383</v>
      </c>
      <c r="BX18" s="51">
        <f t="shared" si="17"/>
        <v>0.25308001396764812</v>
      </c>
      <c r="BY18" s="51">
        <f t="shared" si="18"/>
        <v>0.43958398278843286</v>
      </c>
      <c r="BZ18" s="55"/>
      <c r="CA18" s="51"/>
      <c r="CC18" s="57"/>
    </row>
    <row r="19" spans="1:84" ht="14.25" outlineLevel="1" thickBot="1" x14ac:dyDescent="0.2">
      <c r="A19" s="46"/>
      <c r="B19" s="20" t="s">
        <v>23</v>
      </c>
      <c r="C19" s="21" t="s">
        <v>148</v>
      </c>
      <c r="D19" s="20">
        <v>322589704</v>
      </c>
      <c r="E19" s="21">
        <v>10</v>
      </c>
      <c r="F19" s="21">
        <v>32</v>
      </c>
      <c r="G19" s="21">
        <v>30</v>
      </c>
      <c r="I19" s="22">
        <f t="shared" si="0"/>
        <v>35.688764999999997</v>
      </c>
      <c r="J19" s="23">
        <f t="shared" si="1"/>
        <v>0.11800753566518044</v>
      </c>
      <c r="K19" s="23">
        <f t="shared" si="2"/>
        <v>2.7760638014659018E-2</v>
      </c>
      <c r="L19" s="23">
        <f t="shared" si="3"/>
        <v>2.064958651005179E-2</v>
      </c>
      <c r="M19" s="23">
        <f t="shared" si="4"/>
        <v>9.0246897650521421E-2</v>
      </c>
      <c r="N19" s="20">
        <f t="shared" si="5"/>
        <v>8955296</v>
      </c>
      <c r="O19" s="23">
        <v>-12</v>
      </c>
      <c r="P19" s="24">
        <v>33040002</v>
      </c>
      <c r="Q19" s="24">
        <v>1032500.0625</v>
      </c>
      <c r="R19" s="24">
        <v>17720.5</v>
      </c>
      <c r="S19" s="25">
        <v>38068016</v>
      </c>
      <c r="T19" s="25">
        <v>6661344</v>
      </c>
      <c r="U19" s="25">
        <v>2293952</v>
      </c>
      <c r="V19" s="25">
        <v>29112720</v>
      </c>
      <c r="W19" s="26">
        <v>71.147937499999898</v>
      </c>
      <c r="X19" s="26">
        <v>75.002496874999906</v>
      </c>
      <c r="Y19" s="26">
        <v>39.495606249999902</v>
      </c>
      <c r="Z19" s="26">
        <v>47.874012499999999</v>
      </c>
      <c r="AA19" s="26">
        <v>48.468343750000003</v>
      </c>
      <c r="AB19" s="27">
        <v>675.197</v>
      </c>
      <c r="AC19" s="27">
        <v>651.59500000000003</v>
      </c>
      <c r="AD19" s="27">
        <v>2228.9499999999998</v>
      </c>
      <c r="AE19" s="27">
        <v>9.89</v>
      </c>
      <c r="AG19" s="22">
        <f t="shared" si="6"/>
        <v>35.608995</v>
      </c>
      <c r="AH19" s="23">
        <f t="shared" si="7"/>
        <v>0.1177437702723457</v>
      </c>
      <c r="AI19" s="23">
        <f t="shared" si="8"/>
        <v>2.7713296144132361E-2</v>
      </c>
      <c r="AJ19" s="23">
        <f t="shared" si="9"/>
        <v>2.0602244639525136E-2</v>
      </c>
      <c r="AK19" s="23">
        <f t="shared" si="10"/>
        <v>9.0030474128213342E-2</v>
      </c>
      <c r="AL19" s="20">
        <f t="shared" si="11"/>
        <v>8940024</v>
      </c>
      <c r="AM19" s="23">
        <v>-12</v>
      </c>
      <c r="AN19" s="24"/>
      <c r="AO19" s="24"/>
      <c r="AP19" s="24"/>
      <c r="AQ19" s="25">
        <v>37982928</v>
      </c>
      <c r="AR19" s="25">
        <v>6646072</v>
      </c>
      <c r="AS19" s="25">
        <v>2293952</v>
      </c>
      <c r="AT19" s="25">
        <v>29042904</v>
      </c>
      <c r="AU19" s="26">
        <v>71.152337500000002</v>
      </c>
      <c r="AV19" s="26">
        <v>74.993959375000003</v>
      </c>
      <c r="AW19" s="26">
        <v>39.476037499999997</v>
      </c>
      <c r="AX19" s="26">
        <v>47.8650375</v>
      </c>
      <c r="AY19" s="26">
        <v>48.467374999999997</v>
      </c>
      <c r="AZ19" s="27">
        <v>444.9</v>
      </c>
      <c r="BA19" s="27">
        <v>474.75</v>
      </c>
      <c r="BB19" s="27">
        <v>1804.92</v>
      </c>
      <c r="BC19" s="27">
        <v>9.859</v>
      </c>
      <c r="BE19" s="28">
        <f t="shared" si="12"/>
        <v>0.99829464040049587</v>
      </c>
      <c r="BF19" s="29" t="e">
        <f t="shared" si="13"/>
        <v>#DIV/0!</v>
      </c>
      <c r="BG19" s="29">
        <f t="shared" si="14"/>
        <v>1.2491123170574325E-4</v>
      </c>
      <c r="BH19" s="29"/>
      <c r="BJ19" s="28"/>
      <c r="BK19" s="28"/>
      <c r="BL19" s="28"/>
      <c r="BM19" s="28"/>
      <c r="BN19" s="28"/>
      <c r="BP19" s="28"/>
      <c r="BQ19" s="28"/>
      <c r="BR19" s="28"/>
      <c r="BS19" s="28"/>
      <c r="BT19" s="28"/>
      <c r="BV19" s="51">
        <f t="shared" si="15"/>
        <v>0.34108119556218414</v>
      </c>
      <c r="BW19" s="51">
        <f t="shared" si="16"/>
        <v>0.27140324895065188</v>
      </c>
      <c r="BX19" s="51">
        <f t="shared" si="17"/>
        <v>0.19023755579981597</v>
      </c>
      <c r="BY19" s="51">
        <f t="shared" si="18"/>
        <v>0.30624222225641801</v>
      </c>
      <c r="BZ19" s="55">
        <f t="shared" ref="BZ19:CA19" si="21">AVERAGE(BV15:BV19)</f>
        <v>0.54664717939564111</v>
      </c>
      <c r="CA19" s="51">
        <f t="shared" si="21"/>
        <v>0.48024068392016722</v>
      </c>
      <c r="CB19" s="51">
        <f>AVERAGE(BX15:BX19)</f>
        <v>0.2826708248109725</v>
      </c>
      <c r="CC19" s="58">
        <f>AVERAGE(BY15:BY19)</f>
        <v>0.51344393165790403</v>
      </c>
      <c r="CD19" s="51">
        <f>(SUM(AB15:AB19)-SUM(AZ15:AZ19))/SUM(AB15:AB19)</f>
        <v>0.53140499243325312</v>
      </c>
      <c r="CE19" s="51">
        <f>(SUM(AC15:AC19)-SUM(BA15:BA19))/SUM(AC15:AC19)</f>
        <v>0.45867869312551535</v>
      </c>
      <c r="CF19" s="51">
        <f>(SUM(AB15:AC19)-SUM(AZ15:BA19))/SUM(AB15:AC19)</f>
        <v>0.49733789377104953</v>
      </c>
    </row>
    <row r="20" spans="1:84" x14ac:dyDescent="0.15">
      <c r="A20" s="11"/>
      <c r="B20" s="11" t="s">
        <v>26</v>
      </c>
      <c r="C20" s="12" t="s">
        <v>144</v>
      </c>
      <c r="D20" s="11">
        <v>250602891</v>
      </c>
      <c r="E20" s="12">
        <v>10</v>
      </c>
      <c r="F20" s="12">
        <v>32</v>
      </c>
      <c r="G20" s="12">
        <v>50</v>
      </c>
      <c r="I20" s="13">
        <f t="shared" si="0"/>
        <v>5.0936000000000003</v>
      </c>
      <c r="J20" s="14">
        <f t="shared" si="1"/>
        <v>1.3008245782767127E-2</v>
      </c>
      <c r="K20" s="14">
        <f t="shared" si="2"/>
        <v>7.583088895810065E-3</v>
      </c>
      <c r="L20" s="14">
        <f t="shared" si="3"/>
        <v>3.7914646403660202E-3</v>
      </c>
      <c r="M20" s="14">
        <f t="shared" si="4"/>
        <v>5.425156886957062E-3</v>
      </c>
      <c r="N20" s="11">
        <f t="shared" si="5"/>
        <v>1900344</v>
      </c>
      <c r="O20" s="14">
        <v>-12</v>
      </c>
      <c r="P20" s="15">
        <v>30202618</v>
      </c>
      <c r="Q20" s="15">
        <v>943831.8125</v>
      </c>
      <c r="R20" s="15">
        <v>27795.1875</v>
      </c>
      <c r="S20" s="16">
        <v>3259904</v>
      </c>
      <c r="T20" s="16">
        <v>950152</v>
      </c>
      <c r="U20" s="16">
        <v>950192</v>
      </c>
      <c r="V20" s="16">
        <v>1359560</v>
      </c>
      <c r="W20" s="17">
        <v>67.119896874999995</v>
      </c>
      <c r="X20" s="17">
        <v>68.826574999999906</v>
      </c>
      <c r="Y20" s="17">
        <v>30.701740624999999</v>
      </c>
      <c r="Z20" s="17">
        <v>39.504118749999897</v>
      </c>
      <c r="AA20" s="17">
        <v>38.223546874999997</v>
      </c>
      <c r="AB20" s="18">
        <v>517.50800000000004</v>
      </c>
      <c r="AC20" s="18">
        <v>460.06200000000001</v>
      </c>
      <c r="AD20" s="18">
        <v>1816.06</v>
      </c>
      <c r="AE20" s="18">
        <v>10.875</v>
      </c>
      <c r="AG20" s="13">
        <f t="shared" si="6"/>
        <v>5.0798500000000004</v>
      </c>
      <c r="AH20" s="14">
        <f t="shared" si="7"/>
        <v>1.2973130465601852E-2</v>
      </c>
      <c r="AI20" s="14">
        <f t="shared" si="8"/>
        <v>7.5794815950467227E-3</v>
      </c>
      <c r="AJ20" s="14">
        <f t="shared" si="9"/>
        <v>3.7878573396026784E-3</v>
      </c>
      <c r="AK20" s="14">
        <f t="shared" si="10"/>
        <v>5.3936488705551289E-3</v>
      </c>
      <c r="AL20" s="11">
        <f t="shared" si="11"/>
        <v>1899440</v>
      </c>
      <c r="AM20" s="14">
        <v>-12</v>
      </c>
      <c r="AN20" s="15"/>
      <c r="AO20" s="15"/>
      <c r="AP20" s="15"/>
      <c r="AQ20" s="16">
        <v>3251104</v>
      </c>
      <c r="AR20" s="16">
        <v>949248</v>
      </c>
      <c r="AS20" s="16">
        <v>950192</v>
      </c>
      <c r="AT20" s="16">
        <v>1351664</v>
      </c>
      <c r="AU20" s="17">
        <v>67.086324999999903</v>
      </c>
      <c r="AV20" s="17">
        <v>68.783246875000003</v>
      </c>
      <c r="AW20" s="17">
        <v>30.619965624999999</v>
      </c>
      <c r="AX20" s="17">
        <v>39.467881249999998</v>
      </c>
      <c r="AY20" s="17">
        <v>38.143837499999997</v>
      </c>
      <c r="AZ20" s="18">
        <v>138.75399999999999</v>
      </c>
      <c r="BA20" s="18">
        <v>122.968</v>
      </c>
      <c r="BB20" s="18">
        <v>1100.2</v>
      </c>
      <c r="BC20" s="18">
        <v>10.702999999999999</v>
      </c>
      <c r="BE20" s="43">
        <f t="shared" si="12"/>
        <v>0.99952429665365849</v>
      </c>
      <c r="BF20" s="19" t="e">
        <f t="shared" si="13"/>
        <v>#DIV/0!</v>
      </c>
      <c r="BG20" s="19">
        <f t="shared" si="14"/>
        <v>1.2998396882221153E-3</v>
      </c>
      <c r="BH20" s="19">
        <f t="array" ref="BH20">AVERAGE(AL20:AL24/AQ20:AQ24) - AVERAGE(N20:N24/S20:S24)</f>
        <v>1.7785545128765623E-3</v>
      </c>
      <c r="BJ20" s="43">
        <f>IF( OR(ISBLANK(N20:N24),ISBLANK(AL20:AL24), ISBLANK(W20:W24),ISBLANK(AU20:AU24)), "·", bdRateExtend( N20:N24,W20:W24, AL20:AL24,AU20:AU24))</f>
        <v>1.0316740374736177E-3</v>
      </c>
      <c r="BK20" s="43">
        <f>IF( OR(ISBLANK(N20:N24),ISBLANK(AL20:AL24), ISBLANK(X20:X24),ISBLANK(AV20:AV24)), "·", bdRateExtend( N20:N24,X20:X24, AL20:AL24,AV20:AV24))</f>
        <v>1.2615799418571605E-3</v>
      </c>
      <c r="BL20" s="43">
        <f>IF( OR(ISBLANK(V20:V24),ISBLANK(AT20:AT24), ISBLANK(Y20:Y24),ISBLANK(AW20:AW24)), "·", bdRateExtend( V20:V24,Y20:Y24, AT20:AT24,AW20:AW24))</f>
        <v>2.4361045816748472E-2</v>
      </c>
      <c r="BM20" s="43">
        <f>IF( OR(ISBLANK(V20:V24),ISBLANK(AT20:AT24), ISBLANK(Z20:Z24),ISBLANK(AX20:AX24)), "·", bdRateExtend( V20:V24,Z20:Z24, AT20:AT24,AX20:AX24))</f>
        <v>-3.3727383614323703E-3</v>
      </c>
      <c r="BN20" s="43">
        <f>IF( OR(ISBLANK(V20:V24),ISBLANK(AT20:AT24), ISBLANK(AA20:AA24),ISBLANK(AY20:AY24)), "·", bdRateExtend( V20:V24,AA20:AA24, AT20:AT24,AY20:AY24))</f>
        <v>6.6707579672591333E-3</v>
      </c>
      <c r="BP20" s="43">
        <f>IF( OR(ISBLANK(S20:S24),ISBLANK(AQ20:AQ24), ISBLANK(W20:W24),ISBLANK(AU20:AU24)), "·", bdRateExtend( S20:S24,W20:W24, AQ20:AQ24,AU20:AU24))</f>
        <v>-3.9145883353626232E-3</v>
      </c>
      <c r="BQ20" s="43">
        <f>IF( OR(ISBLANK(S20:S24),ISBLANK(AQ20:AQ24), ISBLANK(X20:X24),ISBLANK(AV20:AV24)), "·", bdRateExtend( S20:S24,X20:X24, AQ20:AQ24,AV20:AV24))</f>
        <v>-2.7236735773917831E-3</v>
      </c>
      <c r="BR20" s="43">
        <f>IF( OR(ISBLANK(S20:S24),ISBLANK(AQ20:AQ24), ISBLANK(Y20:Y24),ISBLANK(AW20:AW24)), "·", bdRateExtend( S20:S24,Y20:Y24, AQ20:AQ24,AW20:AW24))</f>
        <v>1.7851521546815796E-2</v>
      </c>
      <c r="BS20" s="43">
        <f>IF( OR(ISBLANK(S20:S24),ISBLANK(AQ20:AQ24), ISBLANK(Z20:Z24),ISBLANK(AX20:AX24)), "·", bdRateExtend( S20:S24,Z20:Z24, AQ20:AQ24,AX20:AX24))</f>
        <v>-7.4156566725636086E-4</v>
      </c>
      <c r="BT20" s="43">
        <f>IF( OR(ISBLANK(S20:S24),ISBLANK(AQ20:AQ24), ISBLANK(AA20:AA24),ISBLANK(AY20:AY24)), "·", bdRateExtend( S20:S24,AA20:AA24, AQ20:AQ24,AY20:AY24))</f>
        <v>6.0834370123052928E-3</v>
      </c>
      <c r="BV20" s="51">
        <f t="shared" si="15"/>
        <v>0.73188047334533957</v>
      </c>
      <c r="BW20" s="51">
        <f t="shared" si="16"/>
        <v>0.73271428633531999</v>
      </c>
      <c r="BX20" s="51">
        <f t="shared" si="17"/>
        <v>0.39418301157450741</v>
      </c>
      <c r="BY20" s="51">
        <f t="shared" si="18"/>
        <v>0.73229737984032983</v>
      </c>
      <c r="BZ20" s="55"/>
      <c r="CA20" s="51"/>
      <c r="CC20" s="57"/>
    </row>
    <row r="21" spans="1:84" outlineLevel="1" x14ac:dyDescent="0.15">
      <c r="A21" s="46"/>
      <c r="B21" s="46" t="s">
        <v>26</v>
      </c>
      <c r="C21" s="3" t="s">
        <v>145</v>
      </c>
      <c r="D21" s="46">
        <v>250602891</v>
      </c>
      <c r="E21" s="3">
        <v>10</v>
      </c>
      <c r="F21" s="3">
        <v>32</v>
      </c>
      <c r="G21" s="3">
        <v>50</v>
      </c>
      <c r="I21" s="4">
        <f t="shared" si="0"/>
        <v>7.5828249999999997</v>
      </c>
      <c r="J21" s="5">
        <f t="shared" si="1"/>
        <v>1.9365331264275001E-2</v>
      </c>
      <c r="K21" s="5">
        <f t="shared" si="2"/>
        <v>9.0187626766045567E-3</v>
      </c>
      <c r="L21" s="5">
        <f t="shared" si="3"/>
        <v>5.2271384211605128E-3</v>
      </c>
      <c r="M21" s="5">
        <f t="shared" si="4"/>
        <v>1.0346568587670442E-2</v>
      </c>
      <c r="N21" s="46">
        <f t="shared" si="5"/>
        <v>2260128</v>
      </c>
      <c r="O21" s="5">
        <v>-12</v>
      </c>
      <c r="P21" s="6">
        <v>31470210</v>
      </c>
      <c r="Q21" s="6">
        <v>983444.0625</v>
      </c>
      <c r="R21" s="6">
        <v>32994.5</v>
      </c>
      <c r="S21" s="7">
        <v>4853008</v>
      </c>
      <c r="T21" s="7">
        <v>1309936</v>
      </c>
      <c r="U21" s="7">
        <v>950192</v>
      </c>
      <c r="V21" s="7">
        <v>2592880</v>
      </c>
      <c r="W21" s="8">
        <v>68.687637499999994</v>
      </c>
      <c r="X21" s="8">
        <v>70.768968749999999</v>
      </c>
      <c r="Y21" s="8">
        <v>32.499071874999998</v>
      </c>
      <c r="Z21" s="8">
        <v>40.637934375</v>
      </c>
      <c r="AA21" s="8">
        <v>39.554534375000003</v>
      </c>
      <c r="AB21" s="9">
        <v>557.04</v>
      </c>
      <c r="AC21" s="9">
        <v>476.26299999999998</v>
      </c>
      <c r="AD21" s="9">
        <v>1871.19</v>
      </c>
      <c r="AE21" s="9">
        <v>11.061999999999999</v>
      </c>
      <c r="AG21" s="4">
        <f t="shared" si="6"/>
        <v>7.4596999999999998</v>
      </c>
      <c r="AH21" s="5">
        <f t="shared" si="7"/>
        <v>1.905088956056776E-2</v>
      </c>
      <c r="AI21" s="5">
        <f t="shared" si="8"/>
        <v>9.0178369091520171E-3</v>
      </c>
      <c r="AJ21" s="5">
        <f t="shared" si="9"/>
        <v>5.2262126537079732E-3</v>
      </c>
      <c r="AK21" s="5">
        <f t="shared" si="10"/>
        <v>1.0033052651415741E-2</v>
      </c>
      <c r="AL21" s="46">
        <f t="shared" si="11"/>
        <v>2259896</v>
      </c>
      <c r="AM21" s="5">
        <v>-12</v>
      </c>
      <c r="AN21" s="6"/>
      <c r="AO21" s="6"/>
      <c r="AP21" s="6"/>
      <c r="AQ21" s="7">
        <v>4774208</v>
      </c>
      <c r="AR21" s="7">
        <v>1309704</v>
      </c>
      <c r="AS21" s="7">
        <v>950192</v>
      </c>
      <c r="AT21" s="7">
        <v>2514312</v>
      </c>
      <c r="AU21" s="8">
        <v>68.675749999999994</v>
      </c>
      <c r="AV21" s="8">
        <v>70.752499999999898</v>
      </c>
      <c r="AW21" s="8">
        <v>32.265071874999997</v>
      </c>
      <c r="AX21" s="8">
        <v>40.626884374999896</v>
      </c>
      <c r="AY21" s="8">
        <v>39.49201875</v>
      </c>
      <c r="AZ21" s="9">
        <v>167.53399999999999</v>
      </c>
      <c r="BA21" s="9">
        <v>153.34800000000001</v>
      </c>
      <c r="BB21" s="9">
        <v>1160.6300000000001</v>
      </c>
      <c r="BC21" s="9">
        <v>10.859</v>
      </c>
      <c r="BE21" s="44">
        <f t="shared" si="12"/>
        <v>0.99989735094649501</v>
      </c>
      <c r="BF21" s="10" t="e">
        <f t="shared" si="13"/>
        <v>#DIV/0!</v>
      </c>
      <c r="BG21" s="10">
        <f t="shared" si="14"/>
        <v>7.6382290622177273E-3</v>
      </c>
      <c r="BH21" s="10"/>
      <c r="BJ21" s="44"/>
      <c r="BK21" s="44"/>
      <c r="BL21" s="44"/>
      <c r="BM21" s="44"/>
      <c r="BN21" s="44"/>
      <c r="BP21" s="44"/>
      <c r="BQ21" s="44"/>
      <c r="BR21" s="44"/>
      <c r="BS21" s="44"/>
      <c r="BT21" s="44"/>
      <c r="BV21" s="51">
        <f t="shared" si="15"/>
        <v>0.69924242424242422</v>
      </c>
      <c r="BW21" s="51">
        <f t="shared" si="16"/>
        <v>0.67801823782237958</v>
      </c>
      <c r="BX21" s="51">
        <f t="shared" si="17"/>
        <v>0.37973695883368336</v>
      </c>
      <c r="BY21" s="51">
        <f t="shared" si="18"/>
        <v>0.6886303310324019</v>
      </c>
      <c r="BZ21" s="55"/>
      <c r="CA21" s="51"/>
      <c r="CC21" s="57"/>
    </row>
    <row r="22" spans="1:84" outlineLevel="1" x14ac:dyDescent="0.15">
      <c r="A22" s="11"/>
      <c r="B22" s="11" t="s">
        <v>26</v>
      </c>
      <c r="C22" s="12" t="s">
        <v>146</v>
      </c>
      <c r="D22" s="11">
        <v>250602891</v>
      </c>
      <c r="E22" s="12">
        <v>10</v>
      </c>
      <c r="F22" s="12">
        <v>32</v>
      </c>
      <c r="G22" s="12">
        <v>50</v>
      </c>
      <c r="I22" s="13">
        <f t="shared" si="0"/>
        <v>12.3580875</v>
      </c>
      <c r="J22" s="14">
        <f t="shared" si="1"/>
        <v>3.1560593608634786E-2</v>
      </c>
      <c r="K22" s="14">
        <f t="shared" si="2"/>
        <v>1.1265089515667239E-2</v>
      </c>
      <c r="L22" s="14">
        <f t="shared" si="3"/>
        <v>7.4734652602231949E-3</v>
      </c>
      <c r="M22" s="14">
        <f t="shared" si="4"/>
        <v>2.0295504092967546E-2</v>
      </c>
      <c r="N22" s="11">
        <f t="shared" si="5"/>
        <v>2823064</v>
      </c>
      <c r="O22" s="14">
        <v>-12</v>
      </c>
      <c r="P22" s="15">
        <v>32774469</v>
      </c>
      <c r="Q22" s="15">
        <v>1024202.15625</v>
      </c>
      <c r="R22" s="15">
        <v>35190.1875</v>
      </c>
      <c r="S22" s="16">
        <v>7909176</v>
      </c>
      <c r="T22" s="16">
        <v>1872872</v>
      </c>
      <c r="U22" s="16">
        <v>950192</v>
      </c>
      <c r="V22" s="16">
        <v>5086112</v>
      </c>
      <c r="W22" s="17">
        <v>69.849543749999995</v>
      </c>
      <c r="X22" s="17">
        <v>72.244293749999898</v>
      </c>
      <c r="Y22" s="17">
        <v>34.215484375000003</v>
      </c>
      <c r="Z22" s="17">
        <v>41.679962499999903</v>
      </c>
      <c r="AA22" s="17">
        <v>40.578524999999999</v>
      </c>
      <c r="AB22" s="18">
        <v>586.04899999999998</v>
      </c>
      <c r="AC22" s="18">
        <v>501.37400000000002</v>
      </c>
      <c r="AD22" s="18">
        <v>1928.45</v>
      </c>
      <c r="AE22" s="18">
        <v>10.718</v>
      </c>
      <c r="AG22" s="13">
        <f t="shared" si="6"/>
        <v>12.3702375</v>
      </c>
      <c r="AH22" s="14">
        <f t="shared" si="7"/>
        <v>3.1591622779802646E-2</v>
      </c>
      <c r="AI22" s="14">
        <f t="shared" si="8"/>
        <v>1.1271537964819408E-2</v>
      </c>
      <c r="AJ22" s="14">
        <f t="shared" si="9"/>
        <v>7.4799137093753635E-3</v>
      </c>
      <c r="AK22" s="14">
        <f t="shared" si="10"/>
        <v>2.0320084814983239E-2</v>
      </c>
      <c r="AL22" s="11">
        <f t="shared" si="11"/>
        <v>2824680</v>
      </c>
      <c r="AM22" s="14">
        <v>-12</v>
      </c>
      <c r="AN22" s="15"/>
      <c r="AO22" s="15"/>
      <c r="AP22" s="15"/>
      <c r="AQ22" s="16">
        <v>7916952</v>
      </c>
      <c r="AR22" s="16">
        <v>1874488</v>
      </c>
      <c r="AS22" s="16">
        <v>950192</v>
      </c>
      <c r="AT22" s="16">
        <v>5092272</v>
      </c>
      <c r="AU22" s="17">
        <v>69.855265625000001</v>
      </c>
      <c r="AV22" s="17">
        <v>72.252543750000001</v>
      </c>
      <c r="AW22" s="17">
        <v>34.207871875000002</v>
      </c>
      <c r="AX22" s="17">
        <v>41.657590624999997</v>
      </c>
      <c r="AY22" s="17">
        <v>40.570768749999999</v>
      </c>
      <c r="AZ22" s="18">
        <v>191.43299999999999</v>
      </c>
      <c r="BA22" s="18">
        <v>206.33799999999999</v>
      </c>
      <c r="BB22" s="18">
        <v>1241.5</v>
      </c>
      <c r="BC22" s="18">
        <v>10.89</v>
      </c>
      <c r="BE22" s="43">
        <f t="shared" si="12"/>
        <v>1.0005724276884973</v>
      </c>
      <c r="BF22" s="19" t="e">
        <f t="shared" si="13"/>
        <v>#DIV/0!</v>
      </c>
      <c r="BG22" s="19">
        <f t="shared" si="14"/>
        <v>-1.4646151527897278E-4</v>
      </c>
      <c r="BH22" s="19"/>
      <c r="BJ22" s="43"/>
      <c r="BK22" s="43"/>
      <c r="BL22" s="43"/>
      <c r="BM22" s="43"/>
      <c r="BN22" s="43"/>
      <c r="BP22" s="43"/>
      <c r="BQ22" s="43"/>
      <c r="BR22" s="43"/>
      <c r="BS22" s="43"/>
      <c r="BT22" s="43"/>
      <c r="BV22" s="51">
        <f t="shared" si="15"/>
        <v>0.67334983934790438</v>
      </c>
      <c r="BW22" s="51">
        <f t="shared" si="16"/>
        <v>0.58845492586372661</v>
      </c>
      <c r="BX22" s="51">
        <f t="shared" si="17"/>
        <v>0.35621872488267781</v>
      </c>
      <c r="BY22" s="51">
        <f t="shared" si="18"/>
        <v>0.63090238260581555</v>
      </c>
      <c r="BZ22" s="55"/>
      <c r="CA22" s="51"/>
      <c r="CC22" s="57"/>
    </row>
    <row r="23" spans="1:84" outlineLevel="1" x14ac:dyDescent="0.15">
      <c r="A23" s="46"/>
      <c r="B23" s="46" t="s">
        <v>26</v>
      </c>
      <c r="C23" s="3" t="s">
        <v>147</v>
      </c>
      <c r="D23" s="46">
        <v>250602891</v>
      </c>
      <c r="E23" s="3">
        <v>10</v>
      </c>
      <c r="F23" s="3">
        <v>32</v>
      </c>
      <c r="G23" s="3">
        <v>50</v>
      </c>
      <c r="I23" s="4">
        <f t="shared" si="0"/>
        <v>22.005125</v>
      </c>
      <c r="J23" s="5">
        <f t="shared" si="1"/>
        <v>5.619759590083899E-2</v>
      </c>
      <c r="K23" s="5">
        <f t="shared" si="2"/>
        <v>1.5193503892977835E-2</v>
      </c>
      <c r="L23" s="5">
        <f t="shared" si="3"/>
        <v>1.140187963753379E-2</v>
      </c>
      <c r="M23" s="5">
        <f t="shared" si="4"/>
        <v>4.1004092007861155E-2</v>
      </c>
      <c r="N23" s="46">
        <f t="shared" si="5"/>
        <v>3807536</v>
      </c>
      <c r="O23" s="5">
        <v>-12</v>
      </c>
      <c r="P23" s="6">
        <v>32769151</v>
      </c>
      <c r="Q23" s="6">
        <v>1024035.96875</v>
      </c>
      <c r="R23" s="6">
        <v>36890.875</v>
      </c>
      <c r="S23" s="7">
        <v>14083280</v>
      </c>
      <c r="T23" s="7">
        <v>2857344</v>
      </c>
      <c r="U23" s="7">
        <v>950192</v>
      </c>
      <c r="V23" s="7">
        <v>10275744</v>
      </c>
      <c r="W23" s="8">
        <v>70.891781249999894</v>
      </c>
      <c r="X23" s="8">
        <v>73.621353124999999</v>
      </c>
      <c r="Y23" s="8">
        <v>35.690490625000002</v>
      </c>
      <c r="Z23" s="8">
        <v>42.822521875</v>
      </c>
      <c r="AA23" s="8">
        <v>41.617903124999998</v>
      </c>
      <c r="AB23" s="9">
        <v>633.92999999999995</v>
      </c>
      <c r="AC23" s="9">
        <v>544.75</v>
      </c>
      <c r="AD23" s="9">
        <v>2017</v>
      </c>
      <c r="AE23" s="9">
        <v>10.656000000000001</v>
      </c>
      <c r="AG23" s="4">
        <f t="shared" si="6"/>
        <v>21.955937500000001</v>
      </c>
      <c r="AH23" s="5">
        <f t="shared" si="7"/>
        <v>5.6071978834434114E-2</v>
      </c>
      <c r="AI23" s="5">
        <f t="shared" si="8"/>
        <v>1.5172594317756694E-2</v>
      </c>
      <c r="AJ23" s="5">
        <f t="shared" si="9"/>
        <v>1.1380970062312649E-2</v>
      </c>
      <c r="AK23" s="5">
        <f t="shared" si="10"/>
        <v>4.089938451667742E-2</v>
      </c>
      <c r="AL23" s="46">
        <f t="shared" si="11"/>
        <v>3802296</v>
      </c>
      <c r="AM23" s="5">
        <v>-12</v>
      </c>
      <c r="AN23" s="6"/>
      <c r="AO23" s="6"/>
      <c r="AP23" s="6"/>
      <c r="AQ23" s="7">
        <v>14051800</v>
      </c>
      <c r="AR23" s="7">
        <v>2852104</v>
      </c>
      <c r="AS23" s="7">
        <v>950192</v>
      </c>
      <c r="AT23" s="7">
        <v>10249504</v>
      </c>
      <c r="AU23" s="8">
        <v>70.883087499999903</v>
      </c>
      <c r="AV23" s="8">
        <v>73.607262499999905</v>
      </c>
      <c r="AW23" s="8">
        <v>35.677478125</v>
      </c>
      <c r="AX23" s="8">
        <v>42.826862499999997</v>
      </c>
      <c r="AY23" s="8">
        <v>41.618953124999997</v>
      </c>
      <c r="AZ23" s="9">
        <v>274.42200000000003</v>
      </c>
      <c r="BA23" s="9">
        <v>277.363</v>
      </c>
      <c r="BB23" s="9">
        <v>1394.27</v>
      </c>
      <c r="BC23" s="9">
        <v>10.906000000000001</v>
      </c>
      <c r="BE23" s="44">
        <f t="shared" si="12"/>
        <v>0.99862378188938994</v>
      </c>
      <c r="BF23" s="10" t="e">
        <f t="shared" si="13"/>
        <v>#DIV/0!</v>
      </c>
      <c r="BG23" s="10">
        <f t="shared" si="14"/>
        <v>2.3277366825119605E-4</v>
      </c>
      <c r="BH23" s="10"/>
      <c r="BJ23" s="44"/>
      <c r="BK23" s="44"/>
      <c r="BL23" s="44"/>
      <c r="BM23" s="44"/>
      <c r="BN23" s="44"/>
      <c r="BP23" s="44"/>
      <c r="BQ23" s="44"/>
      <c r="BR23" s="44"/>
      <c r="BS23" s="44"/>
      <c r="BT23" s="44"/>
      <c r="BV23" s="51">
        <f t="shared" si="15"/>
        <v>0.56710993327338977</v>
      </c>
      <c r="BW23" s="51">
        <f t="shared" si="16"/>
        <v>0.49084350619550254</v>
      </c>
      <c r="BX23" s="51">
        <f t="shared" si="17"/>
        <v>0.30874070401586517</v>
      </c>
      <c r="BY23" s="51">
        <f t="shared" si="18"/>
        <v>0.52897671973444615</v>
      </c>
      <c r="BZ23" s="55"/>
      <c r="CA23" s="51"/>
      <c r="CC23" s="57"/>
    </row>
    <row r="24" spans="1:84" ht="14.25" outlineLevel="1" thickBot="1" x14ac:dyDescent="0.2">
      <c r="A24" s="30"/>
      <c r="B24" s="30" t="s">
        <v>26</v>
      </c>
      <c r="C24" s="31" t="s">
        <v>148</v>
      </c>
      <c r="D24" s="30">
        <v>250602891</v>
      </c>
      <c r="E24" s="31">
        <v>10</v>
      </c>
      <c r="F24" s="31">
        <v>32</v>
      </c>
      <c r="G24" s="31">
        <v>50</v>
      </c>
      <c r="I24" s="32">
        <f t="shared" si="0"/>
        <v>38.627387499999998</v>
      </c>
      <c r="J24" s="33">
        <f t="shared" si="1"/>
        <v>9.8648215514800269E-2</v>
      </c>
      <c r="K24" s="33">
        <f t="shared" si="2"/>
        <v>2.5280761824890519E-2</v>
      </c>
      <c r="L24" s="33">
        <f t="shared" si="3"/>
        <v>1.7958835119743291E-2</v>
      </c>
      <c r="M24" s="33">
        <f t="shared" si="4"/>
        <v>7.336745368990974E-2</v>
      </c>
      <c r="N24" s="30">
        <f t="shared" si="5"/>
        <v>6335432</v>
      </c>
      <c r="O24" s="33">
        <v>-12</v>
      </c>
      <c r="P24" s="34">
        <v>31405837</v>
      </c>
      <c r="Q24" s="34">
        <v>981432.40625</v>
      </c>
      <c r="R24" s="34">
        <v>18371.09375</v>
      </c>
      <c r="S24" s="35">
        <v>24721528</v>
      </c>
      <c r="T24" s="35">
        <v>4500536</v>
      </c>
      <c r="U24" s="35">
        <v>1834896</v>
      </c>
      <c r="V24" s="35">
        <v>18386096</v>
      </c>
      <c r="W24" s="36">
        <v>71.729621874999907</v>
      </c>
      <c r="X24" s="36">
        <v>75.643156249999905</v>
      </c>
      <c r="Y24" s="36">
        <v>36.543587500000001</v>
      </c>
      <c r="Z24" s="36">
        <v>43.589959374999999</v>
      </c>
      <c r="AA24" s="36">
        <v>42.051628125000001</v>
      </c>
      <c r="AB24" s="37">
        <v>679.25900000000001</v>
      </c>
      <c r="AC24" s="37">
        <v>624.96</v>
      </c>
      <c r="AD24" s="37">
        <v>2170.64</v>
      </c>
      <c r="AE24" s="37">
        <v>11.045999999999999</v>
      </c>
      <c r="AG24" s="32">
        <f t="shared" si="6"/>
        <v>38.605899999999998</v>
      </c>
      <c r="AH24" s="33">
        <f t="shared" si="7"/>
        <v>9.8593339850975625E-2</v>
      </c>
      <c r="AI24" s="33">
        <f t="shared" si="8"/>
        <v>2.5253723030673258E-2</v>
      </c>
      <c r="AJ24" s="33">
        <f t="shared" si="9"/>
        <v>1.793179632552603E-2</v>
      </c>
      <c r="AK24" s="33">
        <f t="shared" si="10"/>
        <v>7.3339616820302364E-2</v>
      </c>
      <c r="AL24" s="30">
        <f t="shared" si="11"/>
        <v>6328656</v>
      </c>
      <c r="AM24" s="33">
        <v>-12</v>
      </c>
      <c r="AN24" s="34"/>
      <c r="AO24" s="34"/>
      <c r="AP24" s="34"/>
      <c r="AQ24" s="35">
        <v>24707776</v>
      </c>
      <c r="AR24" s="35">
        <v>4493760</v>
      </c>
      <c r="AS24" s="35">
        <v>1834896</v>
      </c>
      <c r="AT24" s="35">
        <v>18379120</v>
      </c>
      <c r="AU24" s="36">
        <v>71.732078124999902</v>
      </c>
      <c r="AV24" s="36">
        <v>75.639828124999994</v>
      </c>
      <c r="AW24" s="36">
        <v>36.550634375000001</v>
      </c>
      <c r="AX24" s="36">
        <v>43.581850000000003</v>
      </c>
      <c r="AY24" s="36">
        <v>42.039134375000003</v>
      </c>
      <c r="AZ24" s="37">
        <v>406.983</v>
      </c>
      <c r="BA24" s="37">
        <v>378.37599999999998</v>
      </c>
      <c r="BB24" s="37">
        <v>1643.66</v>
      </c>
      <c r="BC24" s="37">
        <v>10.734</v>
      </c>
      <c r="BE24" s="38">
        <f t="shared" si="12"/>
        <v>0.99893045967504668</v>
      </c>
      <c r="BF24" s="39" t="e">
        <f t="shared" si="13"/>
        <v>#DIV/0!</v>
      </c>
      <c r="BG24" s="39">
        <f t="shared" si="14"/>
        <v>-1.3160833902964297E-4</v>
      </c>
      <c r="BH24" s="39"/>
      <c r="BJ24" s="38"/>
      <c r="BK24" s="38"/>
      <c r="BL24" s="38"/>
      <c r="BM24" s="38"/>
      <c r="BN24" s="38"/>
      <c r="BP24" s="38"/>
      <c r="BQ24" s="38"/>
      <c r="BR24" s="38"/>
      <c r="BS24" s="38"/>
      <c r="BT24" s="38"/>
      <c r="BV24" s="52">
        <f t="shared" si="15"/>
        <v>0.40084268298248532</v>
      </c>
      <c r="BW24" s="52">
        <f t="shared" si="16"/>
        <v>0.39455965181771641</v>
      </c>
      <c r="BX24" s="52">
        <f t="shared" si="17"/>
        <v>0.24277632403346469</v>
      </c>
      <c r="BY24" s="52">
        <f t="shared" si="18"/>
        <v>0.39770116740010086</v>
      </c>
      <c r="BZ24" s="55">
        <f>AVERAGE(BV20:BV24)</f>
        <v>0.61448507063830859</v>
      </c>
      <c r="CA24" s="51">
        <f>AVERAGE(BW20:BW24)</f>
        <v>0.57691812160692901</v>
      </c>
      <c r="CB24" s="51">
        <f>AVERAGE(BX20:BX24)</f>
        <v>0.33633114466803965</v>
      </c>
      <c r="CC24" s="58">
        <f>AVERAGE(BY20:BY24)</f>
        <v>0.59570159612261897</v>
      </c>
      <c r="CD24" s="51">
        <f>(SUM(AB20:AB24)-SUM(AZ20:AZ24))/SUM(AB20:AB24)</f>
        <v>0.60349332467097494</v>
      </c>
      <c r="CE24" s="51">
        <f>(SUM(AC20:AC24)-SUM(BA20:BA24))/SUM(AC20:AC24)</f>
        <v>0.56340067860469911</v>
      </c>
      <c r="CF24" s="51">
        <f>(SUM(AB20:AC24)-SUM(AZ20:BA24))/SUM(AB20:AC24)</f>
        <v>0.58476294055305356</v>
      </c>
    </row>
    <row r="25" spans="1:84" x14ac:dyDescent="0.15">
      <c r="A25" s="46" t="s">
        <v>149</v>
      </c>
      <c r="B25" s="46" t="s">
        <v>27</v>
      </c>
      <c r="C25" s="3" t="s">
        <v>144</v>
      </c>
      <c r="D25" s="46">
        <v>250294582</v>
      </c>
      <c r="E25" s="3">
        <v>10</v>
      </c>
      <c r="F25" s="3">
        <v>32</v>
      </c>
      <c r="G25" s="3">
        <v>30</v>
      </c>
      <c r="I25" s="4">
        <f t="shared" si="0"/>
        <v>4.3608675000000003</v>
      </c>
      <c r="J25" s="5">
        <f t="shared" si="1"/>
        <v>1.8584469399341611E-2</v>
      </c>
      <c r="K25" s="5">
        <f t="shared" si="2"/>
        <v>6.4496481989370427E-3</v>
      </c>
      <c r="L25" s="5">
        <f t="shared" si="3"/>
        <v>3.6966041877806209E-3</v>
      </c>
      <c r="M25" s="5">
        <f t="shared" si="4"/>
        <v>1.213482120040457E-2</v>
      </c>
      <c r="N25" s="46">
        <f t="shared" si="5"/>
        <v>1614312</v>
      </c>
      <c r="O25" s="5">
        <v>-12</v>
      </c>
      <c r="P25" s="6">
        <v>23148086</v>
      </c>
      <c r="Q25" s="6">
        <v>723377.6875</v>
      </c>
      <c r="R25" s="6">
        <v>13979.90625</v>
      </c>
      <c r="S25" s="7">
        <v>4651592</v>
      </c>
      <c r="T25" s="7">
        <v>925240</v>
      </c>
      <c r="U25" s="7">
        <v>689072</v>
      </c>
      <c r="V25" s="7">
        <v>3037280</v>
      </c>
      <c r="W25" s="8">
        <v>66.202731249999999</v>
      </c>
      <c r="X25" s="8">
        <v>67.991668750000002</v>
      </c>
      <c r="Y25" s="8">
        <v>27.334187499999999</v>
      </c>
      <c r="Z25" s="8">
        <v>33.179340624999902</v>
      </c>
      <c r="AA25" s="8">
        <v>32.601890624999903</v>
      </c>
      <c r="AB25" s="9">
        <v>465.16699999999997</v>
      </c>
      <c r="AC25" s="9">
        <v>439.43200000000002</v>
      </c>
      <c r="AD25" s="9">
        <v>1346.13</v>
      </c>
      <c r="AE25" s="9">
        <v>10.234</v>
      </c>
      <c r="AG25" s="4">
        <f t="shared" si="6"/>
        <v>4.3565624999999999</v>
      </c>
      <c r="AH25" s="5">
        <f t="shared" si="7"/>
        <v>1.8566123017397157E-2</v>
      </c>
      <c r="AI25" s="5">
        <f t="shared" si="8"/>
        <v>6.4403151962754033E-3</v>
      </c>
      <c r="AJ25" s="5">
        <f t="shared" si="9"/>
        <v>3.6872711851189811E-3</v>
      </c>
      <c r="AK25" s="5">
        <f t="shared" si="10"/>
        <v>1.2125807821121753E-2</v>
      </c>
      <c r="AL25" s="46">
        <f t="shared" si="11"/>
        <v>1611976</v>
      </c>
      <c r="AM25" s="5">
        <v>-12</v>
      </c>
      <c r="AN25" s="6"/>
      <c r="AO25" s="6"/>
      <c r="AP25" s="6"/>
      <c r="AQ25" s="7">
        <v>4647000</v>
      </c>
      <c r="AR25" s="7">
        <v>922904</v>
      </c>
      <c r="AS25" s="7">
        <v>689072</v>
      </c>
      <c r="AT25" s="7">
        <v>3035024</v>
      </c>
      <c r="AU25" s="8">
        <v>66.183374999999998</v>
      </c>
      <c r="AV25" s="8">
        <v>67.943806249999994</v>
      </c>
      <c r="AW25" s="8">
        <v>27.334018749999998</v>
      </c>
      <c r="AX25" s="8">
        <v>33.171484374999999</v>
      </c>
      <c r="AY25" s="8">
        <v>32.588674999999903</v>
      </c>
      <c r="AZ25" s="9">
        <v>123.27200000000001</v>
      </c>
      <c r="BA25" s="9">
        <v>142.33600000000001</v>
      </c>
      <c r="BB25" s="9">
        <v>703.89</v>
      </c>
      <c r="BC25" s="9">
        <v>10.343</v>
      </c>
      <c r="BE25" s="44">
        <f t="shared" si="12"/>
        <v>0.99855294391666549</v>
      </c>
      <c r="BF25" s="10" t="e">
        <f t="shared" si="13"/>
        <v>#DIV/0!</v>
      </c>
      <c r="BG25" s="10">
        <f t="shared" si="14"/>
        <v>-1.5975233675458167E-4</v>
      </c>
      <c r="BH25" s="10">
        <f t="array" ref="BH25">AVERAGE(AL25:AL29/AQ25:AQ29) - AVERAGE(N25:N29/S25:S29)</f>
        <v>-4.7497612423480495E-5</v>
      </c>
      <c r="BJ25" s="44">
        <f>IF( OR(ISBLANK(N25:N29),ISBLANK(AL25:AL29), ISBLANK(W25:W29),ISBLANK(AU25:AU29)), "·", bdRateExtend( N25:N29,W25:W29, AL25:AL29,AU25:AU29))</f>
        <v>4.5205513950463683E-4</v>
      </c>
      <c r="BK25" s="44">
        <f>IF( OR(ISBLANK(N25:N29),ISBLANK(AL25:AL29), ISBLANK(X25:X29),ISBLANK(AV25:AV29)), "·", bdRateExtend( N25:N29,X25:X29, AL25:AL29,AV25:AV29))</f>
        <v>8.2708731786573786E-4</v>
      </c>
      <c r="BL25" s="44">
        <f>IF( OR(ISBLANK(V25:V29),ISBLANK(AT25:AT29), ISBLANK(Y25:Y29),ISBLANK(AW25:AW29)), "·", bdRateExtend( V25:V29,Y25:Y29, AT25:AT29,AW25:AW29))</f>
        <v>1.0921544873281341E-3</v>
      </c>
      <c r="BM25" s="44">
        <f>IF( OR(ISBLANK(V25:V29),ISBLANK(AT25:AT29), ISBLANK(Z25:Z29),ISBLANK(AX25:AX29)), "·", bdRateExtend( V25:V29,Z25:Z29, AT25:AT29,AX25:AX29))</f>
        <v>9.1491703050139428E-4</v>
      </c>
      <c r="BN25" s="44">
        <f>IF( OR(ISBLANK(V25:V29),ISBLANK(AT25:AT29), ISBLANK(AA25:AA29),ISBLANK(AY25:AY29)), "·", bdRateExtend( V25:V29,AA25:AA29, AT25:AT29,AY25:AY29))</f>
        <v>4.3452935334076237E-4</v>
      </c>
      <c r="BP25" s="44">
        <f>IF( OR(ISBLANK(S25:S29),ISBLANK(AQ25:AQ29), ISBLANK(W25:W29),ISBLANK(AU25:AU29)), "·", bdRateExtend( S25:S29,W25:W29, AQ25:AQ29,AU25:AU29))</f>
        <v>2.4565014154240838E-3</v>
      </c>
      <c r="BQ25" s="44">
        <f>IF( OR(ISBLANK(S25:S29),ISBLANK(AQ25:AQ29), ISBLANK(X25:X29),ISBLANK(AV25:AV29)), "·", bdRateExtend( S25:S29,X25:X29, AQ25:AQ29,AV25:AV29))</f>
        <v>3.1896775155617618E-3</v>
      </c>
      <c r="BR25" s="44">
        <f>IF( OR(ISBLANK(S25:S29),ISBLANK(AQ25:AQ29), ISBLANK(Y25:Y29),ISBLANK(AW25:AW29)), "·", bdRateExtend( S25:S29,Y25:Y29, AQ25:AQ29,AW25:AW29))</f>
        <v>8.4656895726187287E-4</v>
      </c>
      <c r="BS25" s="44">
        <f>IF( OR(ISBLANK(S25:S29),ISBLANK(AQ25:AQ29), ISBLANK(Z25:Z29),ISBLANK(AX25:AX29)), "·", bdRateExtend( S25:S29,Z25:Z29, AQ25:AQ29,AX25:AX29))</f>
        <v>6.2482158246091046E-4</v>
      </c>
      <c r="BT25" s="44">
        <f>IF( OR(ISBLANK(S25:S29),ISBLANK(AQ25:AQ29), ISBLANK(AA25:AA29),ISBLANK(AY25:AY29)), "·", bdRateExtend( S25:S29,AA25:AA29, AQ25:AQ29,AY25:AY29))</f>
        <v>2.7271396250250213E-4</v>
      </c>
      <c r="BV25" s="51">
        <f t="shared" si="15"/>
        <v>0.73499409889351563</v>
      </c>
      <c r="BW25" s="51">
        <f t="shared" si="16"/>
        <v>0.67609095377669348</v>
      </c>
      <c r="BX25" s="51">
        <f t="shared" si="17"/>
        <v>0.4771010229324063</v>
      </c>
      <c r="BY25" s="51">
        <f t="shared" si="18"/>
        <v>0.7055425263351045</v>
      </c>
      <c r="BZ25" s="55"/>
      <c r="CA25" s="51"/>
      <c r="CC25" s="57"/>
    </row>
    <row r="26" spans="1:84" outlineLevel="1" x14ac:dyDescent="0.15">
      <c r="A26" s="11"/>
      <c r="B26" s="11" t="s">
        <v>27</v>
      </c>
      <c r="C26" s="12" t="s">
        <v>145</v>
      </c>
      <c r="D26" s="11">
        <v>250294582</v>
      </c>
      <c r="E26" s="12">
        <v>10</v>
      </c>
      <c r="F26" s="12">
        <v>32</v>
      </c>
      <c r="G26" s="12">
        <v>30</v>
      </c>
      <c r="I26" s="13">
        <f t="shared" si="0"/>
        <v>7.4916749999999999</v>
      </c>
      <c r="J26" s="14">
        <f t="shared" si="1"/>
        <v>3.192685968727841E-2</v>
      </c>
      <c r="K26" s="14">
        <f t="shared" si="2"/>
        <v>7.9828495848144245E-3</v>
      </c>
      <c r="L26" s="14">
        <f t="shared" si="3"/>
        <v>5.2298055736580027E-3</v>
      </c>
      <c r="M26" s="14">
        <f t="shared" si="4"/>
        <v>2.3944010102463983E-2</v>
      </c>
      <c r="N26" s="11">
        <f t="shared" si="5"/>
        <v>1998064</v>
      </c>
      <c r="O26" s="14">
        <v>-12</v>
      </c>
      <c r="P26" s="15">
        <v>24596617</v>
      </c>
      <c r="Q26" s="15">
        <v>768644.28125</v>
      </c>
      <c r="R26" s="15">
        <v>17690.84375</v>
      </c>
      <c r="S26" s="16">
        <v>7991120</v>
      </c>
      <c r="T26" s="16">
        <v>1308992</v>
      </c>
      <c r="U26" s="16">
        <v>689072</v>
      </c>
      <c r="V26" s="16">
        <v>5993056</v>
      </c>
      <c r="W26" s="17">
        <v>67.955109375000006</v>
      </c>
      <c r="X26" s="17">
        <v>69.951062499999907</v>
      </c>
      <c r="Y26" s="17">
        <v>29.714649999999999</v>
      </c>
      <c r="Z26" s="17">
        <v>34.343318750000002</v>
      </c>
      <c r="AA26" s="17">
        <v>33.888874999999999</v>
      </c>
      <c r="AB26" s="18">
        <v>497.53</v>
      </c>
      <c r="AC26" s="18">
        <v>454.13099999999997</v>
      </c>
      <c r="AD26" s="18">
        <v>1392.09</v>
      </c>
      <c r="AE26" s="18">
        <v>10.343</v>
      </c>
      <c r="AG26" s="13">
        <f t="shared" si="6"/>
        <v>7.4806800000000004</v>
      </c>
      <c r="AH26" s="14">
        <f t="shared" si="7"/>
        <v>3.1880002899942916E-2</v>
      </c>
      <c r="AI26" s="14">
        <f t="shared" si="8"/>
        <v>7.9692655912144347E-3</v>
      </c>
      <c r="AJ26" s="14">
        <f t="shared" si="9"/>
        <v>5.2162215800580138E-3</v>
      </c>
      <c r="AK26" s="14">
        <f t="shared" si="10"/>
        <v>2.3910737308728482E-2</v>
      </c>
      <c r="AL26" s="11">
        <f t="shared" si="11"/>
        <v>1994664</v>
      </c>
      <c r="AM26" s="14">
        <v>-12</v>
      </c>
      <c r="AN26" s="15"/>
      <c r="AO26" s="15"/>
      <c r="AP26" s="15"/>
      <c r="AQ26" s="16">
        <v>7979392</v>
      </c>
      <c r="AR26" s="16">
        <v>1305592</v>
      </c>
      <c r="AS26" s="16">
        <v>689072</v>
      </c>
      <c r="AT26" s="16">
        <v>5984728</v>
      </c>
      <c r="AU26" s="17">
        <v>67.941740624999994</v>
      </c>
      <c r="AV26" s="17">
        <v>69.931024999999906</v>
      </c>
      <c r="AW26" s="17">
        <v>29.702321874999999</v>
      </c>
      <c r="AX26" s="17">
        <v>34.333449999999999</v>
      </c>
      <c r="AY26" s="17">
        <v>33.893187500000003</v>
      </c>
      <c r="AZ26" s="18">
        <v>156.44300000000001</v>
      </c>
      <c r="BA26" s="18">
        <v>172.16800000000001</v>
      </c>
      <c r="BB26" s="18">
        <v>770.125</v>
      </c>
      <c r="BC26" s="18">
        <v>10.170999999999999</v>
      </c>
      <c r="BE26" s="43">
        <f t="shared" si="12"/>
        <v>0.99829835280551571</v>
      </c>
      <c r="BF26" s="19" t="e">
        <f t="shared" si="13"/>
        <v>#DIV/0!</v>
      </c>
      <c r="BG26" s="19">
        <f t="shared" si="14"/>
        <v>-5.8598849805163722E-5</v>
      </c>
      <c r="BH26" s="19"/>
      <c r="BJ26" s="43"/>
      <c r="BK26" s="43"/>
      <c r="BL26" s="43"/>
      <c r="BM26" s="43"/>
      <c r="BN26" s="43"/>
      <c r="BP26" s="43"/>
      <c r="BQ26" s="43"/>
      <c r="BR26" s="43"/>
      <c r="BS26" s="43"/>
      <c r="BT26" s="43"/>
      <c r="BV26" s="51">
        <f t="shared" si="15"/>
        <v>0.68556066970835927</v>
      </c>
      <c r="BW26" s="51">
        <f t="shared" si="16"/>
        <v>0.62088472269014883</v>
      </c>
      <c r="BX26" s="51">
        <f t="shared" si="17"/>
        <v>0.44678504981718131</v>
      </c>
      <c r="BY26" s="51">
        <f t="shared" si="18"/>
        <v>0.65322269619925399</v>
      </c>
      <c r="BZ26" s="55"/>
      <c r="CA26" s="51"/>
      <c r="CC26" s="57"/>
    </row>
    <row r="27" spans="1:84" outlineLevel="1" x14ac:dyDescent="0.15">
      <c r="A27" s="46"/>
      <c r="B27" s="46" t="s">
        <v>27</v>
      </c>
      <c r="C27" s="3" t="s">
        <v>146</v>
      </c>
      <c r="D27" s="46">
        <v>250294582</v>
      </c>
      <c r="E27" s="3">
        <v>10</v>
      </c>
      <c r="F27" s="3">
        <v>32</v>
      </c>
      <c r="G27" s="3">
        <v>30</v>
      </c>
      <c r="I27" s="4">
        <f t="shared" si="0"/>
        <v>13.183875</v>
      </c>
      <c r="J27" s="5">
        <f t="shared" si="1"/>
        <v>5.6184995646449909E-2</v>
      </c>
      <c r="K27" s="5">
        <f t="shared" si="2"/>
        <v>1.028832497860461E-2</v>
      </c>
      <c r="L27" s="5">
        <f t="shared" si="3"/>
        <v>7.5352809674481885E-3</v>
      </c>
      <c r="M27" s="5">
        <f t="shared" si="4"/>
        <v>4.58966706678453E-2</v>
      </c>
      <c r="N27" s="46">
        <f t="shared" si="5"/>
        <v>2575112</v>
      </c>
      <c r="O27" s="5">
        <v>-12</v>
      </c>
      <c r="P27" s="6">
        <v>24867879</v>
      </c>
      <c r="Q27" s="6">
        <v>777121.21875</v>
      </c>
      <c r="R27" s="6">
        <v>18587.625</v>
      </c>
      <c r="S27" s="7">
        <v>14062800</v>
      </c>
      <c r="T27" s="7">
        <v>1886040</v>
      </c>
      <c r="U27" s="7">
        <v>689072</v>
      </c>
      <c r="V27" s="7">
        <v>11487688</v>
      </c>
      <c r="W27" s="8">
        <v>69.271965624999893</v>
      </c>
      <c r="X27" s="8">
        <v>71.647043749999995</v>
      </c>
      <c r="Y27" s="8">
        <v>32.215471874999999</v>
      </c>
      <c r="Z27" s="8">
        <v>35.579521874999998</v>
      </c>
      <c r="AA27" s="8">
        <v>35.207475000000002</v>
      </c>
      <c r="AB27" s="9">
        <v>528.10500000000002</v>
      </c>
      <c r="AC27" s="9">
        <v>490.21199999999999</v>
      </c>
      <c r="AD27" s="9">
        <v>1456.08</v>
      </c>
      <c r="AE27" s="9">
        <v>10.327999999999999</v>
      </c>
      <c r="AG27" s="4">
        <f t="shared" si="6"/>
        <v>13.179375</v>
      </c>
      <c r="AH27" s="5">
        <f t="shared" si="7"/>
        <v>5.6165818243720515E-2</v>
      </c>
      <c r="AI27" s="5">
        <f t="shared" si="8"/>
        <v>1.0288804413672846E-2</v>
      </c>
      <c r="AJ27" s="5">
        <f t="shared" si="9"/>
        <v>7.5357604025164237E-3</v>
      </c>
      <c r="AK27" s="5">
        <f t="shared" si="10"/>
        <v>4.5877013830047671E-2</v>
      </c>
      <c r="AL27" s="46">
        <f t="shared" si="11"/>
        <v>2575232</v>
      </c>
      <c r="AM27" s="5">
        <v>-12</v>
      </c>
      <c r="AN27" s="6"/>
      <c r="AO27" s="6"/>
      <c r="AP27" s="6"/>
      <c r="AQ27" s="7">
        <v>14058000</v>
      </c>
      <c r="AR27" s="7">
        <v>1886160</v>
      </c>
      <c r="AS27" s="7">
        <v>689072</v>
      </c>
      <c r="AT27" s="7">
        <v>11482768</v>
      </c>
      <c r="AU27" s="8">
        <v>69.268528124999904</v>
      </c>
      <c r="AV27" s="8">
        <v>71.639684375000002</v>
      </c>
      <c r="AW27" s="8">
        <v>32.209168749999897</v>
      </c>
      <c r="AX27" s="8">
        <v>35.5780156249999</v>
      </c>
      <c r="AY27" s="8">
        <v>35.197428125000002</v>
      </c>
      <c r="AZ27" s="9">
        <v>182.27099999999999</v>
      </c>
      <c r="BA27" s="9">
        <v>236.715</v>
      </c>
      <c r="BB27" s="9">
        <v>860.14</v>
      </c>
      <c r="BC27" s="9">
        <v>10.202999999999999</v>
      </c>
      <c r="BE27" s="44">
        <f t="shared" si="12"/>
        <v>1.0000465999148775</v>
      </c>
      <c r="BF27" s="10" t="e">
        <f t="shared" si="13"/>
        <v>#DIV/0!</v>
      </c>
      <c r="BG27" s="10">
        <f t="shared" si="14"/>
        <v>7.1059383388361042E-5</v>
      </c>
      <c r="BH27" s="10"/>
      <c r="BJ27" s="44"/>
      <c r="BK27" s="44"/>
      <c r="BL27" s="44"/>
      <c r="BM27" s="44"/>
      <c r="BN27" s="44"/>
      <c r="BP27" s="44"/>
      <c r="BQ27" s="44"/>
      <c r="BR27" s="44"/>
      <c r="BS27" s="44"/>
      <c r="BT27" s="44"/>
      <c r="BV27" s="51">
        <f t="shared" si="15"/>
        <v>0.65485840883915136</v>
      </c>
      <c r="BW27" s="51">
        <f t="shared" si="16"/>
        <v>0.51711708403711043</v>
      </c>
      <c r="BX27" s="51">
        <f t="shared" si="17"/>
        <v>0.40927696280424153</v>
      </c>
      <c r="BY27" s="51">
        <f t="shared" si="18"/>
        <v>0.5859877464381309</v>
      </c>
      <c r="BZ27" s="55"/>
      <c r="CA27" s="51"/>
      <c r="CC27" s="57"/>
    </row>
    <row r="28" spans="1:84" outlineLevel="1" x14ac:dyDescent="0.15">
      <c r="A28" s="11"/>
      <c r="B28" s="11" t="s">
        <v>27</v>
      </c>
      <c r="C28" s="12" t="s">
        <v>147</v>
      </c>
      <c r="D28" s="11">
        <v>250294582</v>
      </c>
      <c r="E28" s="12">
        <v>10</v>
      </c>
      <c r="F28" s="12">
        <v>32</v>
      </c>
      <c r="G28" s="12">
        <v>30</v>
      </c>
      <c r="I28" s="13">
        <f t="shared" si="0"/>
        <v>24.458400000000001</v>
      </c>
      <c r="J28" s="14">
        <f t="shared" si="1"/>
        <v>0.10423301931481681</v>
      </c>
      <c r="K28" s="14">
        <f t="shared" si="2"/>
        <v>1.4138636049261346E-2</v>
      </c>
      <c r="L28" s="14">
        <f t="shared" si="3"/>
        <v>1.1385592038104924E-2</v>
      </c>
      <c r="M28" s="14">
        <f t="shared" si="4"/>
        <v>9.0094383265555467E-2</v>
      </c>
      <c r="N28" s="11">
        <f t="shared" si="5"/>
        <v>3538824</v>
      </c>
      <c r="O28" s="14">
        <v>-12</v>
      </c>
      <c r="P28" s="15">
        <v>25503045</v>
      </c>
      <c r="Q28" s="15">
        <v>796970.15625</v>
      </c>
      <c r="R28" s="15">
        <v>20905.71875</v>
      </c>
      <c r="S28" s="16">
        <v>26088960</v>
      </c>
      <c r="T28" s="16">
        <v>2849752</v>
      </c>
      <c r="U28" s="16">
        <v>689072</v>
      </c>
      <c r="V28" s="16">
        <v>22550136</v>
      </c>
      <c r="W28" s="17">
        <v>70.438771874999901</v>
      </c>
      <c r="X28" s="17">
        <v>72.973003124999906</v>
      </c>
      <c r="Y28" s="17">
        <v>34.905471874999897</v>
      </c>
      <c r="Z28" s="17">
        <v>37.372971874999998</v>
      </c>
      <c r="AA28" s="17">
        <v>36.936059374999999</v>
      </c>
      <c r="AB28" s="18">
        <v>556.94299999999998</v>
      </c>
      <c r="AC28" s="18">
        <v>582.54499999999996</v>
      </c>
      <c r="AD28" s="18">
        <v>1578.13</v>
      </c>
      <c r="AE28" s="18">
        <v>10.359</v>
      </c>
      <c r="AG28" s="13">
        <f t="shared" si="6"/>
        <v>24.429637499999998</v>
      </c>
      <c r="AH28" s="14">
        <f t="shared" si="7"/>
        <v>0.10411044374903808</v>
      </c>
      <c r="AI28" s="14">
        <f t="shared" si="8"/>
        <v>1.4133905623254761E-2</v>
      </c>
      <c r="AJ28" s="14">
        <f t="shared" si="9"/>
        <v>1.138086161209834E-2</v>
      </c>
      <c r="AK28" s="14">
        <f t="shared" si="10"/>
        <v>8.9976538125783323E-2</v>
      </c>
      <c r="AL28" s="11">
        <f t="shared" si="11"/>
        <v>3537640</v>
      </c>
      <c r="AM28" s="14">
        <v>-12</v>
      </c>
      <c r="AN28" s="15"/>
      <c r="AO28" s="15"/>
      <c r="AP28" s="15"/>
      <c r="AQ28" s="16">
        <v>26058280</v>
      </c>
      <c r="AR28" s="16">
        <v>2848568</v>
      </c>
      <c r="AS28" s="16">
        <v>689072</v>
      </c>
      <c r="AT28" s="16">
        <v>22520640</v>
      </c>
      <c r="AU28" s="17">
        <v>70.432353125000006</v>
      </c>
      <c r="AV28" s="17">
        <v>72.969028124999994</v>
      </c>
      <c r="AW28" s="17">
        <v>34.895368749999903</v>
      </c>
      <c r="AX28" s="17">
        <v>37.372671874999902</v>
      </c>
      <c r="AY28" s="17">
        <v>36.933503125000001</v>
      </c>
      <c r="AZ28" s="18">
        <v>244.72399999999999</v>
      </c>
      <c r="BA28" s="18">
        <v>351.88400000000001</v>
      </c>
      <c r="BB28" s="18">
        <v>1037.94</v>
      </c>
      <c r="BC28" s="18">
        <v>10.468</v>
      </c>
      <c r="BE28" s="43">
        <f t="shared" si="12"/>
        <v>0.99966542557640614</v>
      </c>
      <c r="BF28" s="19" t="e">
        <f t="shared" si="13"/>
        <v>#DIV/0!</v>
      </c>
      <c r="BG28" s="19">
        <f t="shared" si="14"/>
        <v>1.142659199597218E-4</v>
      </c>
      <c r="BH28" s="19"/>
      <c r="BJ28" s="43"/>
      <c r="BK28" s="43"/>
      <c r="BL28" s="43"/>
      <c r="BM28" s="43"/>
      <c r="BN28" s="43"/>
      <c r="BP28" s="43"/>
      <c r="BQ28" s="43"/>
      <c r="BR28" s="43"/>
      <c r="BS28" s="43"/>
      <c r="BT28" s="43"/>
      <c r="BV28" s="51">
        <f t="shared" si="15"/>
        <v>0.56059417211456108</v>
      </c>
      <c r="BW28" s="51">
        <f t="shared" si="16"/>
        <v>0.3959539606382339</v>
      </c>
      <c r="BX28" s="51">
        <f t="shared" si="17"/>
        <v>0.34229752935436247</v>
      </c>
      <c r="BY28" s="51">
        <f t="shared" si="18"/>
        <v>0.47827406637639747</v>
      </c>
      <c r="BZ28" s="55"/>
      <c r="CA28" s="51"/>
      <c r="CC28" s="57"/>
    </row>
    <row r="29" spans="1:84" ht="14.25" outlineLevel="1" thickBot="1" x14ac:dyDescent="0.2">
      <c r="A29" s="20"/>
      <c r="B29" s="20" t="s">
        <v>27</v>
      </c>
      <c r="C29" s="21" t="s">
        <v>148</v>
      </c>
      <c r="D29" s="20">
        <v>250294582</v>
      </c>
      <c r="E29" s="21">
        <v>10</v>
      </c>
      <c r="F29" s="21">
        <v>32</v>
      </c>
      <c r="G29" s="21">
        <v>30</v>
      </c>
      <c r="I29" s="22">
        <f t="shared" si="0"/>
        <v>44.156122500000002</v>
      </c>
      <c r="J29" s="23">
        <f t="shared" si="1"/>
        <v>0.18817772092246088</v>
      </c>
      <c r="K29" s="23">
        <f t="shared" si="2"/>
        <v>2.2856395669004135E-2</v>
      </c>
      <c r="L29" s="23">
        <f t="shared" si="3"/>
        <v>1.7621859669339546E-2</v>
      </c>
      <c r="M29" s="23">
        <f t="shared" si="4"/>
        <v>0.16532132525345675</v>
      </c>
      <c r="N29" s="20">
        <f t="shared" si="5"/>
        <v>5720832</v>
      </c>
      <c r="O29" s="23">
        <v>-12</v>
      </c>
      <c r="P29" s="24">
        <v>24554524</v>
      </c>
      <c r="Q29" s="24">
        <v>767328.875</v>
      </c>
      <c r="R29" s="24">
        <v>9745.3125</v>
      </c>
      <c r="S29" s="25">
        <v>47099864</v>
      </c>
      <c r="T29" s="25">
        <v>4410656</v>
      </c>
      <c r="U29" s="25">
        <v>1310176</v>
      </c>
      <c r="V29" s="25">
        <v>41379032</v>
      </c>
      <c r="W29" s="26">
        <v>71.141515624999997</v>
      </c>
      <c r="X29" s="26">
        <v>74.899956249999903</v>
      </c>
      <c r="Y29" s="26">
        <v>37.334449999999997</v>
      </c>
      <c r="Z29" s="26">
        <v>39.404759374999998</v>
      </c>
      <c r="AA29" s="26">
        <v>38.75755625</v>
      </c>
      <c r="AB29" s="27">
        <v>596.798</v>
      </c>
      <c r="AC29" s="27">
        <v>691.16800000000001</v>
      </c>
      <c r="AD29" s="27">
        <v>1743.5</v>
      </c>
      <c r="AE29" s="27">
        <v>10.561999999999999</v>
      </c>
      <c r="AG29" s="22">
        <f t="shared" si="6"/>
        <v>44.112502499999998</v>
      </c>
      <c r="AH29" s="23">
        <f t="shared" si="7"/>
        <v>0.18799182796533725</v>
      </c>
      <c r="AI29" s="23">
        <f t="shared" si="8"/>
        <v>2.2795379565986769E-2</v>
      </c>
      <c r="AJ29" s="23">
        <f t="shared" si="9"/>
        <v>1.7560843566322183E-2</v>
      </c>
      <c r="AK29" s="23">
        <f t="shared" si="10"/>
        <v>0.16519644839935049</v>
      </c>
      <c r="AL29" s="20">
        <f t="shared" si="11"/>
        <v>5705560</v>
      </c>
      <c r="AM29" s="23">
        <v>-12</v>
      </c>
      <c r="AN29" s="24"/>
      <c r="AO29" s="24"/>
      <c r="AP29" s="24"/>
      <c r="AQ29" s="25">
        <v>47053336</v>
      </c>
      <c r="AR29" s="25">
        <v>4395384</v>
      </c>
      <c r="AS29" s="25">
        <v>1310176</v>
      </c>
      <c r="AT29" s="25">
        <v>41347776</v>
      </c>
      <c r="AU29" s="26">
        <v>71.147771875000004</v>
      </c>
      <c r="AV29" s="26">
        <v>74.895890624999893</v>
      </c>
      <c r="AW29" s="26">
        <v>37.333406250000003</v>
      </c>
      <c r="AX29" s="26">
        <v>39.397946875000002</v>
      </c>
      <c r="AY29" s="26">
        <v>38.753771874999998</v>
      </c>
      <c r="AZ29" s="27">
        <v>360.56700000000001</v>
      </c>
      <c r="BA29" s="27">
        <v>488.73899999999998</v>
      </c>
      <c r="BB29" s="27">
        <v>1307.7</v>
      </c>
      <c r="BC29" s="27">
        <v>10.375</v>
      </c>
      <c r="BE29" s="28">
        <f t="shared" si="12"/>
        <v>0.99733045822705502</v>
      </c>
      <c r="BF29" s="29" t="e">
        <f t="shared" si="13"/>
        <v>#DIV/0!</v>
      </c>
      <c r="BG29" s="29">
        <f t="shared" si="14"/>
        <v>-2.0446217890567053E-4</v>
      </c>
      <c r="BH29" s="29"/>
      <c r="BJ29" s="28"/>
      <c r="BK29" s="28"/>
      <c r="BL29" s="28"/>
      <c r="BM29" s="28"/>
      <c r="BN29" s="28"/>
      <c r="BP29" s="28"/>
      <c r="BQ29" s="28"/>
      <c r="BR29" s="28"/>
      <c r="BS29" s="28"/>
      <c r="BT29" s="28"/>
      <c r="BV29" s="51">
        <f t="shared" si="15"/>
        <v>0.39583075010304991</v>
      </c>
      <c r="BW29" s="51">
        <f t="shared" si="16"/>
        <v>0.29287958933283953</v>
      </c>
      <c r="BX29" s="51">
        <f t="shared" si="17"/>
        <v>0.24995698308001144</v>
      </c>
      <c r="BY29" s="51">
        <f t="shared" si="18"/>
        <v>0.34435516971794472</v>
      </c>
      <c r="BZ29" s="55">
        <f t="shared" ref="BZ29:CA29" si="22">AVERAGE(BV25:BV29)</f>
        <v>0.6063676199317275</v>
      </c>
      <c r="CA29" s="51">
        <f t="shared" si="22"/>
        <v>0.5005852620950052</v>
      </c>
      <c r="CB29" s="51">
        <f>AVERAGE(BX25:BX29)</f>
        <v>0.38508350959764059</v>
      </c>
      <c r="CC29" s="58">
        <f>AVERAGE(BY25:BY29)</f>
        <v>0.55347644101336635</v>
      </c>
      <c r="CD29" s="51">
        <f>(SUM(AB25:AB29)-SUM(AZ25:AZ29))/SUM(AB25:AB29)</f>
        <v>0.59642289802056525</v>
      </c>
      <c r="CE29" s="51">
        <f>(SUM(AC25:AC29)-SUM(BA25:BA29))/SUM(AC25:AC29)</f>
        <v>0.47625652495890858</v>
      </c>
      <c r="CF29" s="51">
        <f>(SUM(AB25:AC29)-SUM(AZ25:BA29))/SUM(AB25:AC29)</f>
        <v>0.53619301735504743</v>
      </c>
    </row>
    <row r="30" spans="1:84" x14ac:dyDescent="0.15">
      <c r="A30" s="11" t="s">
        <v>150</v>
      </c>
      <c r="B30" s="11" t="s">
        <v>28</v>
      </c>
      <c r="C30" s="12" t="s">
        <v>144</v>
      </c>
      <c r="D30" s="11">
        <v>375422539</v>
      </c>
      <c r="E30" s="12">
        <v>11</v>
      </c>
      <c r="F30" s="12">
        <v>32</v>
      </c>
      <c r="G30" s="12">
        <v>30</v>
      </c>
      <c r="I30" s="13" t="str">
        <f t="shared" si="0"/>
        <v>·</v>
      </c>
      <c r="J30" s="14" t="str">
        <f t="shared" si="1"/>
        <v>·</v>
      </c>
      <c r="K30" s="14" t="str">
        <f t="shared" si="2"/>
        <v>·</v>
      </c>
      <c r="L30" s="14" t="str">
        <f t="shared" si="3"/>
        <v>·</v>
      </c>
      <c r="M30" s="14" t="str">
        <f t="shared" si="4"/>
        <v>·</v>
      </c>
      <c r="N30" s="11" t="str">
        <f t="shared" si="5"/>
        <v/>
      </c>
      <c r="O30" s="14">
        <v>-12</v>
      </c>
      <c r="P30" s="15">
        <v>84256321</v>
      </c>
      <c r="Q30" s="15">
        <v>2633010.03125</v>
      </c>
      <c r="R30" s="15">
        <v>31474.3125</v>
      </c>
      <c r="S30" s="16"/>
      <c r="T30" s="16"/>
      <c r="U30" s="16"/>
      <c r="V30" s="16"/>
      <c r="W30" s="17"/>
      <c r="X30" s="17"/>
      <c r="Y30" s="17"/>
      <c r="Z30" s="17"/>
      <c r="AA30" s="17"/>
      <c r="AB30" s="18"/>
      <c r="AC30" s="18"/>
      <c r="AD30" s="18"/>
      <c r="AE30" s="18"/>
      <c r="AG30" s="13" t="str">
        <f t="shared" si="6"/>
        <v>·</v>
      </c>
      <c r="AH30" s="14" t="str">
        <f t="shared" si="7"/>
        <v>·</v>
      </c>
      <c r="AI30" s="14" t="str">
        <f t="shared" si="8"/>
        <v>·</v>
      </c>
      <c r="AJ30" s="14" t="str">
        <f t="shared" si="9"/>
        <v>·</v>
      </c>
      <c r="AK30" s="14" t="str">
        <f t="shared" si="10"/>
        <v>·</v>
      </c>
      <c r="AL30" s="11" t="str">
        <f t="shared" si="11"/>
        <v/>
      </c>
      <c r="AM30" s="14">
        <v>-12</v>
      </c>
      <c r="AN30" s="15"/>
      <c r="AO30" s="15"/>
      <c r="AP30" s="15"/>
      <c r="AQ30" s="16"/>
      <c r="AR30" s="16"/>
      <c r="AS30" s="16"/>
      <c r="AT30" s="16"/>
      <c r="AU30" s="17"/>
      <c r="AV30" s="17"/>
      <c r="AW30" s="17"/>
      <c r="AX30" s="17"/>
      <c r="AY30" s="17"/>
      <c r="AZ30" s="18"/>
      <c r="BA30" s="18"/>
      <c r="BB30" s="18"/>
      <c r="BC30" s="18"/>
      <c r="BE30" s="43" t="e">
        <f t="shared" si="12"/>
        <v>#VALUE!</v>
      </c>
      <c r="BF30" s="19" t="e">
        <f t="shared" si="13"/>
        <v>#DIV/0!</v>
      </c>
      <c r="BG30" s="19" t="e">
        <f t="shared" si="14"/>
        <v>#VALUE!</v>
      </c>
      <c r="BH30" s="19" t="e">
        <f t="array" ref="BH30">AVERAGE(AL30:AL34/AQ30:AQ34) - AVERAGE(N30:N34/S30:S34)</f>
        <v>#VALUE!</v>
      </c>
      <c r="BJ30" s="43" t="str">
        <f>IF( OR(ISBLANK(N30:N34),ISBLANK(AL30:AL34), ISBLANK(W30:W34),ISBLANK(AU30:AU34)), "·", bdRateExtend( N30:N34,W30:W34, AL30:AL34,AU30:AU34))</f>
        <v>·</v>
      </c>
      <c r="BK30" s="43" t="str">
        <f>IF( OR(ISBLANK(N30:N34),ISBLANK(AL30:AL34), ISBLANK(X30:X34),ISBLANK(AV30:AV34)), "·", bdRateExtend( N30:N34,X30:X34, AL30:AL34,AV30:AV34))</f>
        <v>·</v>
      </c>
      <c r="BL30" s="43" t="str">
        <f>IF( OR(ISBLANK(V30:V34),ISBLANK(AT30:AT34), ISBLANK(Y30:Y34),ISBLANK(AW30:AW34)), "·", bdRateExtend( V30:V34,Y30:Y34, AT30:AT34,AW30:AW34))</f>
        <v>·</v>
      </c>
      <c r="BM30" s="43" t="str">
        <f>IF( OR(ISBLANK(V30:V34),ISBLANK(AT30:AT34), ISBLANK(Z30:Z34),ISBLANK(AX30:AX34)), "·", bdRateExtend( V30:V34,Z30:Z34, AT30:AT34,AX30:AX34))</f>
        <v>·</v>
      </c>
      <c r="BN30" s="43" t="str">
        <f>IF( OR(ISBLANK(V30:V34),ISBLANK(AT30:AT34), ISBLANK(AA30:AA34),ISBLANK(AY30:AY34)), "·", bdRateExtend( V30:V34,AA30:AA34, AT30:AT34,AY30:AY34))</f>
        <v>·</v>
      </c>
      <c r="BP30" s="43" t="str">
        <f>IF( OR(ISBLANK(S30:S34),ISBLANK(AQ30:AQ34), ISBLANK(W30:W34),ISBLANK(AU30:AU34)), "·", bdRateExtend( S30:S34,W30:W34, AQ30:AQ34,AU30:AU34))</f>
        <v>·</v>
      </c>
      <c r="BQ30" s="43" t="str">
        <f>IF( OR(ISBLANK(S30:S34),ISBLANK(AQ30:AQ34), ISBLANK(X30:X34),ISBLANK(AV30:AV34)), "·", bdRateExtend( S30:S34,X30:X34, AQ30:AQ34,AV30:AV34))</f>
        <v>·</v>
      </c>
      <c r="BR30" s="43" t="str">
        <f>IF( OR(ISBLANK(S30:S34),ISBLANK(AQ30:AQ34), ISBLANK(Y30:Y34),ISBLANK(AW30:AW34)), "·", bdRateExtend( S30:S34,Y30:Y34, AQ30:AQ34,AW30:AW34))</f>
        <v>·</v>
      </c>
      <c r="BS30" s="43" t="str">
        <f>IF( OR(ISBLANK(S30:S34),ISBLANK(AQ30:AQ34), ISBLANK(Z30:Z34),ISBLANK(AX30:AX34)), "·", bdRateExtend( S30:S34,Z30:Z34, AQ30:AQ34,AX30:AX34))</f>
        <v>·</v>
      </c>
      <c r="BT30" s="43" t="str">
        <f>IF( OR(ISBLANK(S30:S34),ISBLANK(AQ30:AQ34), ISBLANK(AA30:AA34),ISBLANK(AY30:AY34)), "·", bdRateExtend( S30:S34,AA30:AA34, AQ30:AQ34,AY30:AY34))</f>
        <v>·</v>
      </c>
      <c r="BV30" s="51" t="e">
        <f t="shared" si="15"/>
        <v>#DIV/0!</v>
      </c>
      <c r="BW30" s="51" t="e">
        <f t="shared" si="16"/>
        <v>#DIV/0!</v>
      </c>
      <c r="BX30" s="51" t="e">
        <f t="shared" si="17"/>
        <v>#DIV/0!</v>
      </c>
      <c r="BY30" s="51" t="e">
        <f t="shared" si="18"/>
        <v>#DIV/0!</v>
      </c>
      <c r="BZ30" s="55"/>
      <c r="CA30" s="51"/>
      <c r="CC30" s="57"/>
    </row>
    <row r="31" spans="1:84" outlineLevel="1" x14ac:dyDescent="0.15">
      <c r="A31" s="46"/>
      <c r="B31" s="46" t="s">
        <v>28</v>
      </c>
      <c r="C31" s="3" t="s">
        <v>145</v>
      </c>
      <c r="D31" s="46">
        <v>375422539</v>
      </c>
      <c r="E31" s="3">
        <v>11</v>
      </c>
      <c r="F31" s="3">
        <v>32</v>
      </c>
      <c r="G31" s="3">
        <v>30</v>
      </c>
      <c r="I31" s="4" t="str">
        <f t="shared" si="0"/>
        <v>·</v>
      </c>
      <c r="J31" s="5" t="str">
        <f t="shared" si="1"/>
        <v>·</v>
      </c>
      <c r="K31" s="5" t="str">
        <f t="shared" si="2"/>
        <v>·</v>
      </c>
      <c r="L31" s="5" t="str">
        <f t="shared" si="3"/>
        <v>·</v>
      </c>
      <c r="M31" s="5" t="str">
        <f t="shared" si="4"/>
        <v>·</v>
      </c>
      <c r="N31" s="46" t="str">
        <f t="shared" si="5"/>
        <v/>
      </c>
      <c r="O31" s="5">
        <v>-12</v>
      </c>
      <c r="P31" s="6">
        <v>89796795</v>
      </c>
      <c r="Q31" s="6">
        <v>2806149.84375</v>
      </c>
      <c r="R31" s="6">
        <v>39729</v>
      </c>
      <c r="S31" s="7"/>
      <c r="T31" s="7"/>
      <c r="U31" s="7"/>
      <c r="V31" s="7"/>
      <c r="W31" s="8"/>
      <c r="X31" s="8"/>
      <c r="Y31" s="8"/>
      <c r="Z31" s="8"/>
      <c r="AA31" s="8"/>
      <c r="AB31" s="9"/>
      <c r="AC31" s="9"/>
      <c r="AD31" s="9"/>
      <c r="AE31" s="9"/>
      <c r="AG31" s="4" t="str">
        <f t="shared" si="6"/>
        <v>·</v>
      </c>
      <c r="AH31" s="5" t="str">
        <f t="shared" si="7"/>
        <v>·</v>
      </c>
      <c r="AI31" s="5" t="str">
        <f t="shared" si="8"/>
        <v>·</v>
      </c>
      <c r="AJ31" s="5" t="str">
        <f t="shared" si="9"/>
        <v>·</v>
      </c>
      <c r="AK31" s="5" t="str">
        <f t="shared" si="10"/>
        <v>·</v>
      </c>
      <c r="AL31" s="46" t="str">
        <f t="shared" si="11"/>
        <v/>
      </c>
      <c r="AM31" s="5">
        <v>-12</v>
      </c>
      <c r="AN31" s="6"/>
      <c r="AO31" s="6"/>
      <c r="AP31" s="6"/>
      <c r="AQ31" s="7"/>
      <c r="AR31" s="7"/>
      <c r="AS31" s="7"/>
      <c r="AT31" s="7"/>
      <c r="AU31" s="8"/>
      <c r="AV31" s="8"/>
      <c r="AW31" s="8"/>
      <c r="AX31" s="8"/>
      <c r="AY31" s="8"/>
      <c r="AZ31" s="9"/>
      <c r="BA31" s="9"/>
      <c r="BB31" s="9"/>
      <c r="BC31" s="9"/>
      <c r="BE31" s="44" t="e">
        <f t="shared" si="12"/>
        <v>#VALUE!</v>
      </c>
      <c r="BF31" s="10" t="e">
        <f t="shared" si="13"/>
        <v>#DIV/0!</v>
      </c>
      <c r="BG31" s="10" t="e">
        <f t="shared" si="14"/>
        <v>#VALUE!</v>
      </c>
      <c r="BH31" s="10"/>
      <c r="BJ31" s="44"/>
      <c r="BK31" s="44"/>
      <c r="BL31" s="44"/>
      <c r="BM31" s="44"/>
      <c r="BN31" s="44"/>
      <c r="BP31" s="44"/>
      <c r="BQ31" s="44"/>
      <c r="BR31" s="44"/>
      <c r="BS31" s="44"/>
      <c r="BT31" s="44"/>
      <c r="BV31" s="51" t="e">
        <f t="shared" si="15"/>
        <v>#DIV/0!</v>
      </c>
      <c r="BW31" s="51" t="e">
        <f t="shared" si="16"/>
        <v>#DIV/0!</v>
      </c>
      <c r="BX31" s="51" t="e">
        <f t="shared" si="17"/>
        <v>#DIV/0!</v>
      </c>
      <c r="BY31" s="51" t="e">
        <f t="shared" si="18"/>
        <v>#DIV/0!</v>
      </c>
      <c r="BZ31" s="55"/>
      <c r="CA31" s="51"/>
      <c r="CC31" s="57"/>
    </row>
    <row r="32" spans="1:84" outlineLevel="1" x14ac:dyDescent="0.15">
      <c r="A32" s="11"/>
      <c r="B32" s="11" t="s">
        <v>28</v>
      </c>
      <c r="C32" s="12" t="s">
        <v>146</v>
      </c>
      <c r="D32" s="11">
        <v>375422539</v>
      </c>
      <c r="E32" s="12">
        <v>11</v>
      </c>
      <c r="F32" s="12">
        <v>32</v>
      </c>
      <c r="G32" s="12">
        <v>30</v>
      </c>
      <c r="I32" s="13" t="str">
        <f t="shared" si="0"/>
        <v>·</v>
      </c>
      <c r="J32" s="14" t="str">
        <f t="shared" si="1"/>
        <v>·</v>
      </c>
      <c r="K32" s="14" t="str">
        <f t="shared" si="2"/>
        <v>·</v>
      </c>
      <c r="L32" s="14" t="str">
        <f t="shared" si="3"/>
        <v>·</v>
      </c>
      <c r="M32" s="14" t="str">
        <f t="shared" si="4"/>
        <v>·</v>
      </c>
      <c r="N32" s="11" t="str">
        <f t="shared" si="5"/>
        <v/>
      </c>
      <c r="O32" s="14">
        <v>-12</v>
      </c>
      <c r="P32" s="15">
        <v>91551049</v>
      </c>
      <c r="Q32" s="15">
        <v>2860970.28125</v>
      </c>
      <c r="R32" s="15">
        <v>42562.1875</v>
      </c>
      <c r="S32" s="16"/>
      <c r="T32" s="16"/>
      <c r="U32" s="16"/>
      <c r="V32" s="16"/>
      <c r="W32" s="17"/>
      <c r="X32" s="17"/>
      <c r="Y32" s="17"/>
      <c r="Z32" s="17"/>
      <c r="AA32" s="17"/>
      <c r="AB32" s="18"/>
      <c r="AC32" s="18"/>
      <c r="AD32" s="18"/>
      <c r="AE32" s="18"/>
      <c r="AG32" s="13" t="str">
        <f t="shared" si="6"/>
        <v>·</v>
      </c>
      <c r="AH32" s="14" t="str">
        <f t="shared" si="7"/>
        <v>·</v>
      </c>
      <c r="AI32" s="14" t="str">
        <f t="shared" si="8"/>
        <v>·</v>
      </c>
      <c r="AJ32" s="14" t="str">
        <f t="shared" si="9"/>
        <v>·</v>
      </c>
      <c r="AK32" s="14" t="str">
        <f t="shared" si="10"/>
        <v>·</v>
      </c>
      <c r="AL32" s="11" t="str">
        <f t="shared" si="11"/>
        <v/>
      </c>
      <c r="AM32" s="14">
        <v>-12</v>
      </c>
      <c r="AN32" s="15"/>
      <c r="AO32" s="15"/>
      <c r="AP32" s="15"/>
      <c r="AQ32" s="16"/>
      <c r="AR32" s="16"/>
      <c r="AS32" s="16"/>
      <c r="AT32" s="16"/>
      <c r="AU32" s="17"/>
      <c r="AV32" s="17"/>
      <c r="AW32" s="17"/>
      <c r="AX32" s="17"/>
      <c r="AY32" s="17"/>
      <c r="AZ32" s="18"/>
      <c r="BA32" s="18"/>
      <c r="BB32" s="18"/>
      <c r="BC32" s="18"/>
      <c r="BE32" s="43" t="e">
        <f t="shared" si="12"/>
        <v>#VALUE!</v>
      </c>
      <c r="BF32" s="19" t="e">
        <f t="shared" si="13"/>
        <v>#DIV/0!</v>
      </c>
      <c r="BG32" s="19" t="e">
        <f t="shared" si="14"/>
        <v>#VALUE!</v>
      </c>
      <c r="BH32" s="19"/>
      <c r="BJ32" s="43"/>
      <c r="BK32" s="43"/>
      <c r="BL32" s="43"/>
      <c r="BM32" s="43"/>
      <c r="BN32" s="43"/>
      <c r="BP32" s="43"/>
      <c r="BQ32" s="43"/>
      <c r="BR32" s="43"/>
      <c r="BS32" s="43"/>
      <c r="BT32" s="43"/>
      <c r="BV32" s="51" t="e">
        <f t="shared" si="15"/>
        <v>#DIV/0!</v>
      </c>
      <c r="BW32" s="51" t="e">
        <f t="shared" si="16"/>
        <v>#DIV/0!</v>
      </c>
      <c r="BX32" s="51" t="e">
        <f t="shared" si="17"/>
        <v>#DIV/0!</v>
      </c>
      <c r="BY32" s="51" t="e">
        <f t="shared" si="18"/>
        <v>#DIV/0!</v>
      </c>
      <c r="BZ32" s="55"/>
      <c r="CA32" s="51"/>
      <c r="CC32" s="57"/>
    </row>
    <row r="33" spans="1:81" outlineLevel="1" x14ac:dyDescent="0.15">
      <c r="A33" s="46"/>
      <c r="B33" s="46" t="s">
        <v>28</v>
      </c>
      <c r="C33" s="3" t="s">
        <v>147</v>
      </c>
      <c r="D33" s="46">
        <v>375422539</v>
      </c>
      <c r="E33" s="3">
        <v>11</v>
      </c>
      <c r="F33" s="3">
        <v>32</v>
      </c>
      <c r="G33" s="3">
        <v>30</v>
      </c>
      <c r="I33" s="4" t="str">
        <f t="shared" si="0"/>
        <v>·</v>
      </c>
      <c r="J33" s="5" t="str">
        <f t="shared" si="1"/>
        <v>·</v>
      </c>
      <c r="K33" s="5" t="str">
        <f t="shared" si="2"/>
        <v>·</v>
      </c>
      <c r="L33" s="5" t="str">
        <f t="shared" si="3"/>
        <v>·</v>
      </c>
      <c r="M33" s="5" t="str">
        <f t="shared" si="4"/>
        <v>·</v>
      </c>
      <c r="N33" s="46" t="str">
        <f t="shared" si="5"/>
        <v/>
      </c>
      <c r="O33" s="5">
        <v>-12</v>
      </c>
      <c r="P33" s="6">
        <v>93835548</v>
      </c>
      <c r="Q33" s="6">
        <v>2932360.875</v>
      </c>
      <c r="R33" s="6">
        <v>47386.6875</v>
      </c>
      <c r="S33" s="7"/>
      <c r="T33" s="7"/>
      <c r="U33" s="7"/>
      <c r="V33" s="7"/>
      <c r="W33" s="8"/>
      <c r="X33" s="8"/>
      <c r="Y33" s="8"/>
      <c r="Z33" s="8"/>
      <c r="AA33" s="8"/>
      <c r="AB33" s="9"/>
      <c r="AC33" s="9"/>
      <c r="AD33" s="9"/>
      <c r="AE33" s="9"/>
      <c r="AG33" s="4" t="str">
        <f t="shared" si="6"/>
        <v>·</v>
      </c>
      <c r="AH33" s="5" t="str">
        <f t="shared" si="7"/>
        <v>·</v>
      </c>
      <c r="AI33" s="5" t="str">
        <f t="shared" si="8"/>
        <v>·</v>
      </c>
      <c r="AJ33" s="5" t="str">
        <f t="shared" si="9"/>
        <v>·</v>
      </c>
      <c r="AK33" s="5" t="str">
        <f t="shared" si="10"/>
        <v>·</v>
      </c>
      <c r="AL33" s="46" t="str">
        <f t="shared" si="11"/>
        <v/>
      </c>
      <c r="AM33" s="5">
        <v>-12</v>
      </c>
      <c r="AN33" s="6"/>
      <c r="AO33" s="6"/>
      <c r="AP33" s="6"/>
      <c r="AQ33" s="7"/>
      <c r="AR33" s="7"/>
      <c r="AS33" s="7"/>
      <c r="AT33" s="7"/>
      <c r="AU33" s="8"/>
      <c r="AV33" s="8"/>
      <c r="AW33" s="8"/>
      <c r="AX33" s="8"/>
      <c r="AY33" s="8"/>
      <c r="AZ33" s="9"/>
      <c r="BA33" s="9"/>
      <c r="BB33" s="9"/>
      <c r="BC33" s="9"/>
      <c r="BE33" s="44" t="e">
        <f t="shared" si="12"/>
        <v>#VALUE!</v>
      </c>
      <c r="BF33" s="10" t="e">
        <f t="shared" si="13"/>
        <v>#DIV/0!</v>
      </c>
      <c r="BG33" s="10" t="e">
        <f t="shared" si="14"/>
        <v>#VALUE!</v>
      </c>
      <c r="BH33" s="10"/>
      <c r="BJ33" s="44"/>
      <c r="BK33" s="44"/>
      <c r="BL33" s="44"/>
      <c r="BM33" s="44"/>
      <c r="BN33" s="44"/>
      <c r="BP33" s="44"/>
      <c r="BQ33" s="44"/>
      <c r="BR33" s="44"/>
      <c r="BS33" s="44"/>
      <c r="BT33" s="44"/>
      <c r="BV33" s="51" t="e">
        <f t="shared" si="15"/>
        <v>#DIV/0!</v>
      </c>
      <c r="BW33" s="51" t="e">
        <f t="shared" si="16"/>
        <v>#DIV/0!</v>
      </c>
      <c r="BX33" s="51" t="e">
        <f t="shared" si="17"/>
        <v>#DIV/0!</v>
      </c>
      <c r="BY33" s="51" t="e">
        <f t="shared" si="18"/>
        <v>#DIV/0!</v>
      </c>
      <c r="BZ33" s="55"/>
      <c r="CA33" s="51"/>
      <c r="CC33" s="57"/>
    </row>
    <row r="34" spans="1:81" ht="14.25" outlineLevel="1" thickBot="1" x14ac:dyDescent="0.2">
      <c r="A34" s="11"/>
      <c r="B34" s="30" t="s">
        <v>28</v>
      </c>
      <c r="C34" s="31" t="s">
        <v>148</v>
      </c>
      <c r="D34" s="30">
        <v>375422539</v>
      </c>
      <c r="E34" s="31">
        <v>11</v>
      </c>
      <c r="F34" s="31">
        <v>32</v>
      </c>
      <c r="G34" s="31">
        <v>30</v>
      </c>
      <c r="I34" s="32" t="str">
        <f t="shared" si="0"/>
        <v>·</v>
      </c>
      <c r="J34" s="33" t="str">
        <f t="shared" si="1"/>
        <v>·</v>
      </c>
      <c r="K34" s="33" t="str">
        <f t="shared" si="2"/>
        <v>·</v>
      </c>
      <c r="L34" s="33" t="str">
        <f t="shared" si="3"/>
        <v>·</v>
      </c>
      <c r="M34" s="33" t="str">
        <f t="shared" si="4"/>
        <v>·</v>
      </c>
      <c r="N34" s="30" t="str">
        <f t="shared" si="5"/>
        <v/>
      </c>
      <c r="O34" s="33">
        <v>-12</v>
      </c>
      <c r="P34" s="34">
        <v>91937439</v>
      </c>
      <c r="Q34" s="34">
        <v>2873044.96875</v>
      </c>
      <c r="R34" s="34">
        <v>18769.40625</v>
      </c>
      <c r="S34" s="35"/>
      <c r="T34" s="35"/>
      <c r="U34" s="35"/>
      <c r="V34" s="35"/>
      <c r="W34" s="36"/>
      <c r="X34" s="36"/>
      <c r="Y34" s="36"/>
      <c r="Z34" s="36"/>
      <c r="AA34" s="36"/>
      <c r="AB34" s="37"/>
      <c r="AC34" s="37"/>
      <c r="AD34" s="37"/>
      <c r="AE34" s="37"/>
      <c r="AG34" s="32" t="str">
        <f t="shared" si="6"/>
        <v>·</v>
      </c>
      <c r="AH34" s="33" t="str">
        <f t="shared" si="7"/>
        <v>·</v>
      </c>
      <c r="AI34" s="33" t="str">
        <f t="shared" si="8"/>
        <v>·</v>
      </c>
      <c r="AJ34" s="33" t="str">
        <f t="shared" si="9"/>
        <v>·</v>
      </c>
      <c r="AK34" s="33" t="str">
        <f t="shared" si="10"/>
        <v>·</v>
      </c>
      <c r="AL34" s="30" t="str">
        <f t="shared" si="11"/>
        <v/>
      </c>
      <c r="AM34" s="33">
        <v>-12</v>
      </c>
      <c r="AN34" s="34"/>
      <c r="AO34" s="34"/>
      <c r="AP34" s="34"/>
      <c r="AQ34" s="35"/>
      <c r="AR34" s="35"/>
      <c r="AS34" s="35"/>
      <c r="AT34" s="35"/>
      <c r="AU34" s="36"/>
      <c r="AV34" s="36"/>
      <c r="AW34" s="36"/>
      <c r="AX34" s="36"/>
      <c r="AY34" s="36"/>
      <c r="AZ34" s="37"/>
      <c r="BA34" s="37"/>
      <c r="BB34" s="37"/>
      <c r="BC34" s="37"/>
      <c r="BE34" s="38" t="e">
        <f t="shared" si="12"/>
        <v>#VALUE!</v>
      </c>
      <c r="BF34" s="39" t="e">
        <f t="shared" si="13"/>
        <v>#DIV/0!</v>
      </c>
      <c r="BG34" s="39" t="e">
        <f t="shared" si="14"/>
        <v>#VALUE!</v>
      </c>
      <c r="BH34" s="39"/>
      <c r="BJ34" s="38"/>
      <c r="BK34" s="38"/>
      <c r="BL34" s="38"/>
      <c r="BM34" s="38"/>
      <c r="BN34" s="38"/>
      <c r="BP34" s="38"/>
      <c r="BQ34" s="38"/>
      <c r="BR34" s="38"/>
      <c r="BS34" s="38"/>
      <c r="BT34" s="38"/>
      <c r="BV34" s="51" t="e">
        <f t="shared" si="15"/>
        <v>#DIV/0!</v>
      </c>
      <c r="BW34" s="51" t="e">
        <f t="shared" si="16"/>
        <v>#DIV/0!</v>
      </c>
      <c r="BX34" s="51" t="e">
        <f t="shared" si="17"/>
        <v>#DIV/0!</v>
      </c>
      <c r="BY34" s="51" t="e">
        <f t="shared" si="18"/>
        <v>#DIV/0!</v>
      </c>
      <c r="BZ34" s="55"/>
      <c r="CA34" s="51"/>
      <c r="CC34" s="57"/>
    </row>
    <row r="35" spans="1:81" x14ac:dyDescent="0.15">
      <c r="A35" s="46"/>
      <c r="B35" s="46" t="s">
        <v>29</v>
      </c>
      <c r="C35" s="3" t="s">
        <v>144</v>
      </c>
      <c r="D35" s="46">
        <v>333190689</v>
      </c>
      <c r="E35" s="3">
        <v>11</v>
      </c>
      <c r="F35" s="3">
        <v>32</v>
      </c>
      <c r="G35" s="3">
        <v>30</v>
      </c>
      <c r="I35" s="4" t="str">
        <f t="shared" si="0"/>
        <v>·</v>
      </c>
      <c r="J35" s="5" t="str">
        <f t="shared" si="1"/>
        <v>·</v>
      </c>
      <c r="K35" s="5" t="str">
        <f t="shared" si="2"/>
        <v>·</v>
      </c>
      <c r="L35" s="5" t="str">
        <f t="shared" si="3"/>
        <v>·</v>
      </c>
      <c r="M35" s="5" t="str">
        <f t="shared" si="4"/>
        <v>·</v>
      </c>
      <c r="N35" s="46" t="str">
        <f t="shared" si="5"/>
        <v/>
      </c>
      <c r="O35" s="5">
        <v>-12</v>
      </c>
      <c r="P35" s="6">
        <v>74921620</v>
      </c>
      <c r="Q35" s="6">
        <v>2341300.625</v>
      </c>
      <c r="R35" s="6">
        <v>30932.375</v>
      </c>
      <c r="S35" s="7"/>
      <c r="T35" s="7"/>
      <c r="U35" s="7"/>
      <c r="V35" s="7"/>
      <c r="W35" s="8"/>
      <c r="X35" s="8"/>
      <c r="Y35" s="8"/>
      <c r="Z35" s="8"/>
      <c r="AA35" s="8"/>
      <c r="AB35" s="9"/>
      <c r="AC35" s="9"/>
      <c r="AD35" s="9"/>
      <c r="AE35" s="9"/>
      <c r="AG35" s="4" t="str">
        <f t="shared" si="6"/>
        <v>·</v>
      </c>
      <c r="AH35" s="5" t="str">
        <f t="shared" si="7"/>
        <v>·</v>
      </c>
      <c r="AI35" s="5" t="str">
        <f t="shared" si="8"/>
        <v>·</v>
      </c>
      <c r="AJ35" s="5" t="str">
        <f t="shared" si="9"/>
        <v>·</v>
      </c>
      <c r="AK35" s="5" t="str">
        <f t="shared" si="10"/>
        <v>·</v>
      </c>
      <c r="AL35" s="46" t="str">
        <f t="shared" si="11"/>
        <v/>
      </c>
      <c r="AM35" s="5">
        <v>-12</v>
      </c>
      <c r="AN35" s="6"/>
      <c r="AO35" s="6"/>
      <c r="AP35" s="6"/>
      <c r="AQ35" s="7"/>
      <c r="AR35" s="7"/>
      <c r="AS35" s="7"/>
      <c r="AT35" s="7"/>
      <c r="AU35" s="8"/>
      <c r="AV35" s="8"/>
      <c r="AW35" s="8"/>
      <c r="AX35" s="8"/>
      <c r="AY35" s="8"/>
      <c r="AZ35" s="9"/>
      <c r="BA35" s="9"/>
      <c r="BB35" s="9"/>
      <c r="BC35" s="9"/>
      <c r="BE35" s="44" t="e">
        <f t="shared" si="12"/>
        <v>#VALUE!</v>
      </c>
      <c r="BF35" s="10" t="e">
        <f t="shared" si="13"/>
        <v>#DIV/0!</v>
      </c>
      <c r="BG35" s="10" t="e">
        <f t="shared" si="14"/>
        <v>#VALUE!</v>
      </c>
      <c r="BH35" s="10" t="e">
        <f t="array" ref="BH35">AVERAGE(AL35:AL39/AQ35:AQ39) - AVERAGE(N35:N39/S35:S39)</f>
        <v>#VALUE!</v>
      </c>
      <c r="BJ35" s="44" t="str">
        <f>IF( OR(ISBLANK(N35:N39),ISBLANK(AL35:AL39), ISBLANK(W35:W39),ISBLANK(AU35:AU39)), "·", bdRateExtend( N35:N39,W35:W39, AL35:AL39,AU35:AU39))</f>
        <v>·</v>
      </c>
      <c r="BK35" s="44" t="str">
        <f>IF( OR(ISBLANK(N35:N39),ISBLANK(AL35:AL39), ISBLANK(X35:X39),ISBLANK(AV35:AV39)), "·", bdRateExtend( N35:N39,X35:X39, AL35:AL39,AV35:AV39))</f>
        <v>·</v>
      </c>
      <c r="BL35" s="44" t="str">
        <f>IF( OR(ISBLANK(V35:V39),ISBLANK(AT35:AT39), ISBLANK(Y35:Y39),ISBLANK(AW35:AW39)), "·", bdRateExtend( V35:V39,Y35:Y39, AT35:AT39,AW35:AW39))</f>
        <v>·</v>
      </c>
      <c r="BM35" s="44" t="str">
        <f>IF( OR(ISBLANK(V35:V39),ISBLANK(AT35:AT39), ISBLANK(Z35:Z39),ISBLANK(AX35:AX39)), "·", bdRateExtend( V35:V39,Z35:Z39, AT35:AT39,AX35:AX39))</f>
        <v>·</v>
      </c>
      <c r="BN35" s="44" t="str">
        <f>IF( OR(ISBLANK(V35:V39),ISBLANK(AT35:AT39), ISBLANK(AA35:AA39),ISBLANK(AY35:AY39)), "·", bdRateExtend( V35:V39,AA35:AA39, AT35:AT39,AY35:AY39))</f>
        <v>·</v>
      </c>
      <c r="BP35" s="44" t="str">
        <f>IF( OR(ISBLANK(S35:S39),ISBLANK(AQ35:AQ39), ISBLANK(W35:W39),ISBLANK(AU35:AU39)), "·", bdRateExtend( S35:S39,W35:W39, AQ35:AQ39,AU35:AU39))</f>
        <v>·</v>
      </c>
      <c r="BQ35" s="44" t="str">
        <f>IF( OR(ISBLANK(S35:S39),ISBLANK(AQ35:AQ39), ISBLANK(X35:X39),ISBLANK(AV35:AV39)), "·", bdRateExtend( S35:S39,X35:X39, AQ35:AQ39,AV35:AV39))</f>
        <v>·</v>
      </c>
      <c r="BR35" s="44" t="str">
        <f>IF( OR(ISBLANK(S35:S39),ISBLANK(AQ35:AQ39), ISBLANK(Y35:Y39),ISBLANK(AW35:AW39)), "·", bdRateExtend( S35:S39,Y35:Y39, AQ35:AQ39,AW35:AW39))</f>
        <v>·</v>
      </c>
      <c r="BS35" s="44" t="str">
        <f>IF( OR(ISBLANK(S35:S39),ISBLANK(AQ35:AQ39), ISBLANK(Z35:Z39),ISBLANK(AX35:AX39)), "·", bdRateExtend( S35:S39,Z35:Z39, AQ35:AQ39,AX35:AX39))</f>
        <v>·</v>
      </c>
      <c r="BT35" s="44" t="str">
        <f>IF( OR(ISBLANK(S35:S39),ISBLANK(AQ35:AQ39), ISBLANK(AA35:AA39),ISBLANK(AY35:AY39)), "·", bdRateExtend( S35:S39,AA35:AA39, AQ35:AQ39,AY35:AY39))</f>
        <v>·</v>
      </c>
      <c r="BV35" s="51" t="e">
        <f t="shared" si="15"/>
        <v>#DIV/0!</v>
      </c>
      <c r="BW35" s="51" t="e">
        <f t="shared" si="16"/>
        <v>#DIV/0!</v>
      </c>
      <c r="BX35" s="51" t="e">
        <f t="shared" si="17"/>
        <v>#DIV/0!</v>
      </c>
      <c r="BY35" s="51" t="e">
        <f t="shared" si="18"/>
        <v>#DIV/0!</v>
      </c>
      <c r="BZ35" s="55"/>
      <c r="CA35" s="51"/>
      <c r="CC35" s="57"/>
    </row>
    <row r="36" spans="1:81" outlineLevel="1" x14ac:dyDescent="0.15">
      <c r="A36" s="11"/>
      <c r="B36" s="11" t="s">
        <v>29</v>
      </c>
      <c r="C36" s="12" t="s">
        <v>145</v>
      </c>
      <c r="D36" s="11">
        <v>333190689</v>
      </c>
      <c r="E36" s="12">
        <v>11</v>
      </c>
      <c r="F36" s="12">
        <v>32</v>
      </c>
      <c r="G36" s="12">
        <v>30</v>
      </c>
      <c r="I36" s="13" t="str">
        <f t="shared" si="0"/>
        <v>·</v>
      </c>
      <c r="J36" s="14" t="str">
        <f t="shared" si="1"/>
        <v>·</v>
      </c>
      <c r="K36" s="14" t="str">
        <f t="shared" si="2"/>
        <v>·</v>
      </c>
      <c r="L36" s="14" t="str">
        <f t="shared" si="3"/>
        <v>·</v>
      </c>
      <c r="M36" s="14" t="str">
        <f t="shared" si="4"/>
        <v>·</v>
      </c>
      <c r="N36" s="11" t="str">
        <f t="shared" si="5"/>
        <v/>
      </c>
      <c r="O36" s="14">
        <v>-12</v>
      </c>
      <c r="P36" s="15">
        <v>79893061</v>
      </c>
      <c r="Q36" s="15">
        <v>2496658.15625</v>
      </c>
      <c r="R36" s="15">
        <v>39014.28125</v>
      </c>
      <c r="S36" s="16"/>
      <c r="T36" s="16"/>
      <c r="U36" s="16"/>
      <c r="V36" s="16"/>
      <c r="W36" s="17"/>
      <c r="X36" s="17"/>
      <c r="Y36" s="17"/>
      <c r="Z36" s="17"/>
      <c r="AA36" s="17"/>
      <c r="AB36" s="18"/>
      <c r="AC36" s="18"/>
      <c r="AD36" s="18"/>
      <c r="AE36" s="18"/>
      <c r="AG36" s="13" t="str">
        <f t="shared" si="6"/>
        <v>·</v>
      </c>
      <c r="AH36" s="14" t="str">
        <f t="shared" si="7"/>
        <v>·</v>
      </c>
      <c r="AI36" s="14" t="str">
        <f t="shared" si="8"/>
        <v>·</v>
      </c>
      <c r="AJ36" s="14" t="str">
        <f t="shared" si="9"/>
        <v>·</v>
      </c>
      <c r="AK36" s="14" t="str">
        <f t="shared" si="10"/>
        <v>·</v>
      </c>
      <c r="AL36" s="11" t="str">
        <f t="shared" si="11"/>
        <v/>
      </c>
      <c r="AM36" s="14">
        <v>-12</v>
      </c>
      <c r="AN36" s="15"/>
      <c r="AO36" s="15"/>
      <c r="AP36" s="15"/>
      <c r="AQ36" s="16"/>
      <c r="AR36" s="16"/>
      <c r="AS36" s="16"/>
      <c r="AT36" s="16"/>
      <c r="AU36" s="17"/>
      <c r="AV36" s="17"/>
      <c r="AW36" s="17"/>
      <c r="AX36" s="17"/>
      <c r="AY36" s="17"/>
      <c r="AZ36" s="18"/>
      <c r="BA36" s="18"/>
      <c r="BB36" s="18"/>
      <c r="BC36" s="18"/>
      <c r="BE36" s="43" t="e">
        <f t="shared" si="12"/>
        <v>#VALUE!</v>
      </c>
      <c r="BF36" s="19" t="e">
        <f t="shared" si="13"/>
        <v>#DIV/0!</v>
      </c>
      <c r="BG36" s="19" t="e">
        <f t="shared" si="14"/>
        <v>#VALUE!</v>
      </c>
      <c r="BH36" s="19"/>
      <c r="BJ36" s="43"/>
      <c r="BK36" s="43"/>
      <c r="BL36" s="43"/>
      <c r="BM36" s="43"/>
      <c r="BN36" s="43"/>
      <c r="BP36" s="43"/>
      <c r="BQ36" s="43"/>
      <c r="BR36" s="43"/>
      <c r="BS36" s="43"/>
      <c r="BT36" s="43"/>
      <c r="BV36" s="51" t="e">
        <f t="shared" si="15"/>
        <v>#DIV/0!</v>
      </c>
      <c r="BW36" s="51" t="e">
        <f t="shared" si="16"/>
        <v>#DIV/0!</v>
      </c>
      <c r="BX36" s="51" t="e">
        <f t="shared" si="17"/>
        <v>#DIV/0!</v>
      </c>
      <c r="BY36" s="51" t="e">
        <f t="shared" si="18"/>
        <v>#DIV/0!</v>
      </c>
      <c r="BZ36" s="55"/>
      <c r="CA36" s="51"/>
      <c r="CC36" s="57"/>
    </row>
    <row r="37" spans="1:81" outlineLevel="1" x14ac:dyDescent="0.15">
      <c r="A37" s="46"/>
      <c r="B37" s="46" t="s">
        <v>29</v>
      </c>
      <c r="C37" s="3" t="s">
        <v>146</v>
      </c>
      <c r="D37" s="46">
        <v>333190689</v>
      </c>
      <c r="E37" s="3">
        <v>11</v>
      </c>
      <c r="F37" s="3">
        <v>32</v>
      </c>
      <c r="G37" s="3">
        <v>30</v>
      </c>
      <c r="I37" s="4" t="str">
        <f t="shared" si="0"/>
        <v>·</v>
      </c>
      <c r="J37" s="5" t="str">
        <f t="shared" si="1"/>
        <v>·</v>
      </c>
      <c r="K37" s="5" t="str">
        <f t="shared" si="2"/>
        <v>·</v>
      </c>
      <c r="L37" s="5" t="str">
        <f t="shared" si="3"/>
        <v>·</v>
      </c>
      <c r="M37" s="5" t="str">
        <f t="shared" si="4"/>
        <v>·</v>
      </c>
      <c r="N37" s="46" t="str">
        <f t="shared" si="5"/>
        <v/>
      </c>
      <c r="O37" s="5">
        <v>-12</v>
      </c>
      <c r="P37" s="6">
        <v>81688385</v>
      </c>
      <c r="Q37" s="6">
        <v>2552762.03125</v>
      </c>
      <c r="R37" s="6">
        <v>42067.1875</v>
      </c>
      <c r="S37" s="7"/>
      <c r="T37" s="7"/>
      <c r="U37" s="7"/>
      <c r="V37" s="7"/>
      <c r="W37" s="8"/>
      <c r="X37" s="8"/>
      <c r="Y37" s="8"/>
      <c r="Z37" s="8"/>
      <c r="AA37" s="8"/>
      <c r="AB37" s="9"/>
      <c r="AC37" s="9"/>
      <c r="AD37" s="9"/>
      <c r="AE37" s="9"/>
      <c r="AG37" s="4" t="str">
        <f t="shared" si="6"/>
        <v>·</v>
      </c>
      <c r="AH37" s="5" t="str">
        <f t="shared" si="7"/>
        <v>·</v>
      </c>
      <c r="AI37" s="5" t="str">
        <f t="shared" si="8"/>
        <v>·</v>
      </c>
      <c r="AJ37" s="5" t="str">
        <f t="shared" si="9"/>
        <v>·</v>
      </c>
      <c r="AK37" s="5" t="str">
        <f t="shared" si="10"/>
        <v>·</v>
      </c>
      <c r="AL37" s="46" t="str">
        <f t="shared" si="11"/>
        <v/>
      </c>
      <c r="AM37" s="5">
        <v>-12</v>
      </c>
      <c r="AN37" s="6"/>
      <c r="AO37" s="6"/>
      <c r="AP37" s="6"/>
      <c r="AQ37" s="7"/>
      <c r="AR37" s="7"/>
      <c r="AS37" s="7"/>
      <c r="AT37" s="7"/>
      <c r="AU37" s="8"/>
      <c r="AV37" s="8"/>
      <c r="AW37" s="8"/>
      <c r="AX37" s="8"/>
      <c r="AY37" s="8"/>
      <c r="AZ37" s="9"/>
      <c r="BA37" s="9"/>
      <c r="BB37" s="9"/>
      <c r="BC37" s="9"/>
      <c r="BE37" s="44" t="e">
        <f t="shared" si="12"/>
        <v>#VALUE!</v>
      </c>
      <c r="BF37" s="10" t="e">
        <f t="shared" si="13"/>
        <v>#DIV/0!</v>
      </c>
      <c r="BG37" s="10" t="e">
        <f t="shared" si="14"/>
        <v>#VALUE!</v>
      </c>
      <c r="BH37" s="10"/>
      <c r="BJ37" s="44"/>
      <c r="BK37" s="44"/>
      <c r="BL37" s="44"/>
      <c r="BM37" s="44"/>
      <c r="BN37" s="44"/>
      <c r="BP37" s="44"/>
      <c r="BQ37" s="44"/>
      <c r="BR37" s="44"/>
      <c r="BS37" s="44"/>
      <c r="BT37" s="44"/>
      <c r="BV37" s="51" t="e">
        <f t="shared" si="15"/>
        <v>#DIV/0!</v>
      </c>
      <c r="BW37" s="51" t="e">
        <f t="shared" si="16"/>
        <v>#DIV/0!</v>
      </c>
      <c r="BX37" s="51" t="e">
        <f t="shared" si="17"/>
        <v>#DIV/0!</v>
      </c>
      <c r="BY37" s="51" t="e">
        <f t="shared" si="18"/>
        <v>#DIV/0!</v>
      </c>
      <c r="BZ37" s="55"/>
      <c r="CA37" s="51"/>
      <c r="CC37" s="57"/>
    </row>
    <row r="38" spans="1:81" outlineLevel="1" x14ac:dyDescent="0.15">
      <c r="A38" s="11"/>
      <c r="B38" s="11" t="s">
        <v>29</v>
      </c>
      <c r="C38" s="12" t="s">
        <v>147</v>
      </c>
      <c r="D38" s="11">
        <v>333190689</v>
      </c>
      <c r="E38" s="12">
        <v>11</v>
      </c>
      <c r="F38" s="12">
        <v>32</v>
      </c>
      <c r="G38" s="12">
        <v>30</v>
      </c>
      <c r="I38" s="13" t="str">
        <f t="shared" si="0"/>
        <v>·</v>
      </c>
      <c r="J38" s="14" t="str">
        <f t="shared" si="1"/>
        <v>·</v>
      </c>
      <c r="K38" s="14" t="str">
        <f t="shared" si="2"/>
        <v>·</v>
      </c>
      <c r="L38" s="14" t="str">
        <f t="shared" si="3"/>
        <v>·</v>
      </c>
      <c r="M38" s="14" t="str">
        <f t="shared" si="4"/>
        <v>·</v>
      </c>
      <c r="N38" s="11" t="str">
        <f t="shared" si="5"/>
        <v/>
      </c>
      <c r="O38" s="14">
        <v>-12</v>
      </c>
      <c r="P38" s="15">
        <v>83757654</v>
      </c>
      <c r="Q38" s="15">
        <v>2617426.6875</v>
      </c>
      <c r="R38" s="15">
        <v>46922.8125</v>
      </c>
      <c r="S38" s="16"/>
      <c r="T38" s="16"/>
      <c r="U38" s="16"/>
      <c r="V38" s="16"/>
      <c r="W38" s="17"/>
      <c r="X38" s="17"/>
      <c r="Y38" s="17"/>
      <c r="Z38" s="17"/>
      <c r="AA38" s="17"/>
      <c r="AB38" s="18"/>
      <c r="AC38" s="18"/>
      <c r="AD38" s="18"/>
      <c r="AE38" s="18"/>
      <c r="AG38" s="13" t="str">
        <f t="shared" si="6"/>
        <v>·</v>
      </c>
      <c r="AH38" s="14" t="str">
        <f t="shared" si="7"/>
        <v>·</v>
      </c>
      <c r="AI38" s="14" t="str">
        <f t="shared" si="8"/>
        <v>·</v>
      </c>
      <c r="AJ38" s="14" t="str">
        <f t="shared" si="9"/>
        <v>·</v>
      </c>
      <c r="AK38" s="14" t="str">
        <f t="shared" si="10"/>
        <v>·</v>
      </c>
      <c r="AL38" s="11" t="str">
        <f t="shared" si="11"/>
        <v/>
      </c>
      <c r="AM38" s="14">
        <v>-12</v>
      </c>
      <c r="AN38" s="15"/>
      <c r="AO38" s="15"/>
      <c r="AP38" s="15"/>
      <c r="AQ38" s="16"/>
      <c r="AR38" s="16"/>
      <c r="AS38" s="16"/>
      <c r="AT38" s="16"/>
      <c r="AU38" s="17"/>
      <c r="AV38" s="17"/>
      <c r="AW38" s="17"/>
      <c r="AX38" s="17"/>
      <c r="AY38" s="17"/>
      <c r="AZ38" s="18"/>
      <c r="BA38" s="18"/>
      <c r="BB38" s="18"/>
      <c r="BC38" s="18"/>
      <c r="BE38" s="43" t="e">
        <f t="shared" si="12"/>
        <v>#VALUE!</v>
      </c>
      <c r="BF38" s="19" t="e">
        <f t="shared" si="13"/>
        <v>#DIV/0!</v>
      </c>
      <c r="BG38" s="19" t="e">
        <f t="shared" si="14"/>
        <v>#VALUE!</v>
      </c>
      <c r="BH38" s="19"/>
      <c r="BJ38" s="43"/>
      <c r="BK38" s="43"/>
      <c r="BL38" s="43"/>
      <c r="BM38" s="43"/>
      <c r="BN38" s="43"/>
      <c r="BP38" s="43"/>
      <c r="BQ38" s="43"/>
      <c r="BR38" s="43"/>
      <c r="BS38" s="43"/>
      <c r="BT38" s="43"/>
      <c r="BV38" s="51" t="e">
        <f t="shared" si="15"/>
        <v>#DIV/0!</v>
      </c>
      <c r="BW38" s="51" t="e">
        <f t="shared" si="16"/>
        <v>#DIV/0!</v>
      </c>
      <c r="BX38" s="51" t="e">
        <f t="shared" si="17"/>
        <v>#DIV/0!</v>
      </c>
      <c r="BY38" s="51" t="e">
        <f t="shared" si="18"/>
        <v>#DIV/0!</v>
      </c>
      <c r="BZ38" s="54"/>
      <c r="CC38" s="57"/>
    </row>
    <row r="39" spans="1:81" ht="14.25" outlineLevel="1" thickBot="1" x14ac:dyDescent="0.2">
      <c r="A39" s="20"/>
      <c r="B39" s="20" t="s">
        <v>29</v>
      </c>
      <c r="C39" s="21" t="s">
        <v>148</v>
      </c>
      <c r="D39" s="20">
        <v>333190689</v>
      </c>
      <c r="E39" s="21">
        <v>11</v>
      </c>
      <c r="F39" s="21">
        <v>32</v>
      </c>
      <c r="G39" s="21">
        <v>30</v>
      </c>
      <c r="I39" s="22" t="str">
        <f t="shared" si="0"/>
        <v>·</v>
      </c>
      <c r="J39" s="23" t="str">
        <f t="shared" si="1"/>
        <v>·</v>
      </c>
      <c r="K39" s="23" t="str">
        <f t="shared" si="2"/>
        <v>·</v>
      </c>
      <c r="L39" s="23" t="str">
        <f t="shared" si="3"/>
        <v>·</v>
      </c>
      <c r="M39" s="23" t="str">
        <f t="shared" si="4"/>
        <v>·</v>
      </c>
      <c r="N39" s="20" t="str">
        <f t="shared" si="5"/>
        <v/>
      </c>
      <c r="O39" s="23">
        <v>-12</v>
      </c>
      <c r="P39" s="24">
        <v>81959857</v>
      </c>
      <c r="Q39" s="24">
        <v>2561245.53125</v>
      </c>
      <c r="R39" s="24">
        <v>18607.15625</v>
      </c>
      <c r="S39" s="25"/>
      <c r="T39" s="25"/>
      <c r="U39" s="25"/>
      <c r="V39" s="25"/>
      <c r="W39" s="26"/>
      <c r="X39" s="26"/>
      <c r="Y39" s="26"/>
      <c r="Z39" s="26"/>
      <c r="AA39" s="26"/>
      <c r="AB39" s="27"/>
      <c r="AC39" s="27"/>
      <c r="AD39" s="27"/>
      <c r="AE39" s="27"/>
      <c r="AG39" s="22" t="str">
        <f t="shared" si="6"/>
        <v>·</v>
      </c>
      <c r="AH39" s="23" t="str">
        <f t="shared" si="7"/>
        <v>·</v>
      </c>
      <c r="AI39" s="23" t="str">
        <f t="shared" si="8"/>
        <v>·</v>
      </c>
      <c r="AJ39" s="23" t="str">
        <f t="shared" si="9"/>
        <v>·</v>
      </c>
      <c r="AK39" s="23" t="str">
        <f t="shared" si="10"/>
        <v>·</v>
      </c>
      <c r="AL39" s="20" t="str">
        <f t="shared" si="11"/>
        <v/>
      </c>
      <c r="AM39" s="23">
        <v>-12</v>
      </c>
      <c r="AN39" s="24"/>
      <c r="AO39" s="24"/>
      <c r="AP39" s="24"/>
      <c r="AQ39" s="25"/>
      <c r="AR39" s="25"/>
      <c r="AS39" s="25"/>
      <c r="AT39" s="25"/>
      <c r="AU39" s="26"/>
      <c r="AV39" s="26"/>
      <c r="AW39" s="26"/>
      <c r="AX39" s="26"/>
      <c r="AY39" s="26"/>
      <c r="AZ39" s="27"/>
      <c r="BA39" s="27"/>
      <c r="BB39" s="27"/>
      <c r="BC39" s="27"/>
      <c r="BE39" s="28" t="e">
        <f t="shared" si="12"/>
        <v>#VALUE!</v>
      </c>
      <c r="BF39" s="29" t="e">
        <f t="shared" si="13"/>
        <v>#DIV/0!</v>
      </c>
      <c r="BG39" s="29" t="e">
        <f t="shared" si="14"/>
        <v>#VALUE!</v>
      </c>
      <c r="BH39" s="29"/>
      <c r="BJ39" s="28"/>
      <c r="BK39" s="28"/>
      <c r="BL39" s="28"/>
      <c r="BM39" s="28"/>
      <c r="BN39" s="28"/>
      <c r="BP39" s="28"/>
      <c r="BQ39" s="28"/>
      <c r="BR39" s="28"/>
      <c r="BS39" s="28"/>
      <c r="BT39" s="28"/>
      <c r="BV39" s="52" t="e">
        <f t="shared" si="15"/>
        <v>#DIV/0!</v>
      </c>
      <c r="BW39" s="52" t="e">
        <f t="shared" si="16"/>
        <v>#DIV/0!</v>
      </c>
      <c r="BX39" s="52" t="e">
        <f t="shared" si="17"/>
        <v>#DIV/0!</v>
      </c>
      <c r="BY39" s="52" t="e">
        <f t="shared" si="18"/>
        <v>#DIV/0!</v>
      </c>
      <c r="BZ39" s="54"/>
      <c r="CC39" s="57"/>
    </row>
    <row r="40" spans="1:81" x14ac:dyDescent="0.15">
      <c r="B40" s="40" t="s">
        <v>9</v>
      </c>
      <c r="J40" s="41">
        <f>AVERAGE(J5:J24)</f>
        <v>4.4208546081002734E-2</v>
      </c>
      <c r="K40" s="41">
        <f>AVERAGE(K5:K24)</f>
        <v>1.3836094495758086E-2</v>
      </c>
      <c r="L40" s="41">
        <f>AVERAGE(L5:L24)</f>
        <v>9.6969495541967075E-3</v>
      </c>
      <c r="M40" s="41">
        <f>AVERAGE(M5:M24)</f>
        <v>3.0372451585244636E-2</v>
      </c>
      <c r="AH40" s="41">
        <f>AVERAGE(AH5:AH24)</f>
        <v>4.411687422072845E-2</v>
      </c>
      <c r="AI40" s="41">
        <f>AVERAGE(AI5:AI24)</f>
        <v>1.3824155120942695E-2</v>
      </c>
      <c r="AJ40" s="41">
        <f>AVERAGE(AJ5:AJ24)</f>
        <v>9.6850101793813197E-3</v>
      </c>
      <c r="AK40" s="41">
        <f>AVERAGE(AK5:AK24)</f>
        <v>3.0292719099785752E-2</v>
      </c>
      <c r="BE40" s="45">
        <f t="shared" si="12"/>
        <v>0.99913708490361552</v>
      </c>
      <c r="BH40" s="47">
        <f>AVERAGE(BH5:BH24)</f>
        <v>6.6359985577507663E-4</v>
      </c>
      <c r="BJ40" s="45">
        <f>AVERAGE(BJ5:BJ24)</f>
        <v>-5.4639610689771745E-5</v>
      </c>
      <c r="BK40" s="45">
        <f>AVERAGE(BK5:BK24)</f>
        <v>4.4012630991416279E-4</v>
      </c>
      <c r="BL40" s="45">
        <f>AVERAGE(BL5:BL24)</f>
        <v>7.0522252127206975E-3</v>
      </c>
      <c r="BM40" s="45">
        <f>AVERAGE(BM5:BM24)</f>
        <v>-3.8900425016826778E-3</v>
      </c>
      <c r="BN40" s="45">
        <f>AVERAGE(BN5:BN24)</f>
        <v>-2.7017160706965249E-3</v>
      </c>
      <c r="BP40" s="45">
        <f>AVERAGE(BP5:BP24)</f>
        <v>-1.8814566876243499E-3</v>
      </c>
      <c r="BQ40" s="45">
        <f>AVERAGE(BQ5:BQ24)</f>
        <v>-6.9143801640045299E-4</v>
      </c>
      <c r="BR40" s="45">
        <f>AVERAGE(BR5:BR24)</f>
        <v>5.4069672946194802E-3</v>
      </c>
      <c r="BS40" s="45">
        <f>AVERAGE(BS5:BS24)</f>
        <v>-2.2267084872718557E-3</v>
      </c>
      <c r="BT40" s="45">
        <f>AVERAGE(BT5:BT24)</f>
        <v>-1.6647863131020457E-3</v>
      </c>
      <c r="BV40" s="51">
        <f>AVERAGE(BV5:BV29)</f>
        <v>0.59861947552954775</v>
      </c>
      <c r="BW40" s="51">
        <f t="shared" ref="BW40:BX40" si="23">AVERAGE(BW5:BW29)</f>
        <v>0.56756841198356023</v>
      </c>
      <c r="BX40" s="51">
        <f t="shared" si="23"/>
        <v>0.35407505065893857</v>
      </c>
      <c r="BY40" s="59">
        <f>AVERAGE(BV40:BW40)</f>
        <v>0.58309394375655399</v>
      </c>
      <c r="BZ40" s="54"/>
      <c r="CB40" s="51"/>
      <c r="CC40" s="58"/>
    </row>
    <row r="41" spans="1:81" x14ac:dyDescent="0.15">
      <c r="B41" s="40" t="s">
        <v>10</v>
      </c>
      <c r="J41" s="41">
        <f>AVERAGE(J25:J29)</f>
        <v>7.9821412994069529E-2</v>
      </c>
      <c r="K41" s="41">
        <f>AVERAGE(K25:K29)</f>
        <v>1.2343170896124311E-2</v>
      </c>
      <c r="L41" s="41">
        <f>AVERAGE(L25:L29)</f>
        <v>9.0938284872662568E-3</v>
      </c>
      <c r="M41" s="41">
        <f>AVERAGE(M25:M29)</f>
        <v>6.7478242097945215E-2</v>
      </c>
      <c r="AH41" s="41">
        <f>AVERAGE(AH25:AH29)</f>
        <v>7.9742843175087189E-2</v>
      </c>
      <c r="AI41" s="41">
        <f>AVERAGE(AI25:AI29)</f>
        <v>1.2325534078080843E-2</v>
      </c>
      <c r="AJ41" s="41">
        <f>AVERAGE(AJ25:AJ29)</f>
        <v>9.0761916692227891E-3</v>
      </c>
      <c r="AK41" s="41">
        <f>AVERAGE(AK25:AK29)</f>
        <v>6.7417309097006342E-2</v>
      </c>
      <c r="BE41" s="45">
        <f t="shared" si="12"/>
        <v>0.99857112745242749</v>
      </c>
      <c r="BH41" s="47">
        <f>AVERAGE(BH25:BH29)</f>
        <v>-4.7497612423480495E-5</v>
      </c>
      <c r="BJ41" s="45">
        <f>AVERAGE(BJ25:BJ29)</f>
        <v>4.5205513950463683E-4</v>
      </c>
      <c r="BK41" s="45">
        <f>AVERAGE(BK25:BK29)</f>
        <v>8.2708731786573786E-4</v>
      </c>
      <c r="BL41" s="45">
        <f>AVERAGE(BL25:BL29)</f>
        <v>1.0921544873281341E-3</v>
      </c>
      <c r="BM41" s="45">
        <f>AVERAGE(BM25:BM29)</f>
        <v>9.1491703050139428E-4</v>
      </c>
      <c r="BN41" s="45">
        <f>AVERAGE(BN25:BN29)</f>
        <v>4.3452935334076237E-4</v>
      </c>
      <c r="BP41" s="45">
        <f>AVERAGE(BP25:BP29)</f>
        <v>2.4565014154240838E-3</v>
      </c>
      <c r="BQ41" s="45">
        <f>AVERAGE(BQ25:BQ29)</f>
        <v>3.1896775155617618E-3</v>
      </c>
      <c r="BR41" s="45">
        <f>AVERAGE(BR25:BR29)</f>
        <v>8.4656895726187287E-4</v>
      </c>
      <c r="BS41" s="45">
        <f>AVERAGE(BS25:BS29)</f>
        <v>6.2482158246091046E-4</v>
      </c>
      <c r="BT41" s="45">
        <f>AVERAGE(BT25:BT29)</f>
        <v>2.7271396250250213E-4</v>
      </c>
    </row>
    <row r="42" spans="1:81" x14ac:dyDescent="0.15">
      <c r="B42" s="40" t="s">
        <v>11</v>
      </c>
      <c r="J42" s="41" t="e">
        <f>AVERAGE(J30:J39)</f>
        <v>#DIV/0!</v>
      </c>
      <c r="K42" s="41" t="e">
        <f>AVERAGE(K30:K39)</f>
        <v>#DIV/0!</v>
      </c>
      <c r="L42" s="41" t="e">
        <f>AVERAGE(L30:L39)</f>
        <v>#DIV/0!</v>
      </c>
      <c r="M42" s="41" t="e">
        <f>AVERAGE(M30:M39)</f>
        <v>#DIV/0!</v>
      </c>
      <c r="AH42" s="41" t="e">
        <f>AVERAGE(AH30:AH39)</f>
        <v>#DIV/0!</v>
      </c>
      <c r="AI42" s="41" t="e">
        <f>AVERAGE(AI30:AI39)</f>
        <v>#DIV/0!</v>
      </c>
      <c r="AJ42" s="41" t="e">
        <f>AVERAGE(AJ30:AJ39)</f>
        <v>#DIV/0!</v>
      </c>
      <c r="AK42" s="41" t="e">
        <f>AVERAGE(AK30:AK39)</f>
        <v>#DIV/0!</v>
      </c>
      <c r="BE42" s="45" t="e">
        <f t="shared" si="12"/>
        <v>#DIV/0!</v>
      </c>
      <c r="BH42" s="47" t="e">
        <f>AVERAGE(BH30:BH39)</f>
        <v>#VALUE!</v>
      </c>
      <c r="BJ42" s="45" t="e">
        <f>AVERAGE(BJ30:BJ39)</f>
        <v>#DIV/0!</v>
      </c>
      <c r="BK42" s="45" t="e">
        <f>AVERAGE(BK30:BK39)</f>
        <v>#DIV/0!</v>
      </c>
      <c r="BL42" s="45" t="e">
        <f>AVERAGE(BL30:BL39)</f>
        <v>#DIV/0!</v>
      </c>
      <c r="BM42" s="45" t="e">
        <f>AVERAGE(BM30:BM39)</f>
        <v>#DIV/0!</v>
      </c>
      <c r="BN42" s="45" t="e">
        <f>AVERAGE(BN30:BN39)</f>
        <v>#DIV/0!</v>
      </c>
      <c r="BP42" s="45" t="e">
        <f>AVERAGE(BP30:BP39)</f>
        <v>#DIV/0!</v>
      </c>
      <c r="BQ42" s="45" t="e">
        <f>AVERAGE(BQ30:BQ39)</f>
        <v>#DIV/0!</v>
      </c>
      <c r="BR42" s="45" t="e">
        <f>AVERAGE(BR30:BR39)</f>
        <v>#DIV/0!</v>
      </c>
      <c r="BS42" s="45" t="e">
        <f>AVERAGE(BS30:BS39)</f>
        <v>#DIV/0!</v>
      </c>
      <c r="BT42" s="45" t="e">
        <f>AVERAGE(BT30:BT39)</f>
        <v>#DIV/0!</v>
      </c>
    </row>
    <row r="43" spans="1:81" x14ac:dyDescent="0.15">
      <c r="B43" s="40" t="s">
        <v>12</v>
      </c>
      <c r="J43" s="41">
        <f>AVERAGE(J5:J39)</f>
        <v>5.1331119463616091E-2</v>
      </c>
      <c r="K43" s="41">
        <f>AVERAGE(K5:K39)</f>
        <v>1.3537509775831333E-2</v>
      </c>
      <c r="L43" s="41">
        <f>AVERAGE(L5:L39)</f>
        <v>9.5763253408106177E-3</v>
      </c>
      <c r="M43" s="41">
        <f>AVERAGE(M5:M39)</f>
        <v>3.7793609687784752E-2</v>
      </c>
      <c r="AH43" s="41">
        <f>AVERAGE(AH5:AH39)</f>
        <v>5.1242068011600195E-2</v>
      </c>
      <c r="AI43" s="41">
        <f>AVERAGE(AI5:AI39)</f>
        <v>1.3524430912370324E-2</v>
      </c>
      <c r="AJ43" s="41">
        <f>AVERAGE(AJ5:AJ39)</f>
        <v>9.5632464773496122E-3</v>
      </c>
      <c r="AK43" s="41">
        <f>AVERAGE(AK5:AK39)</f>
        <v>3.7717637099229873E-2</v>
      </c>
      <c r="BE43" s="45">
        <f t="shared" si="12"/>
        <v>0.99903387966638013</v>
      </c>
      <c r="BH43" s="47" t="e">
        <f>AVERAGE(BH5:BH39)</f>
        <v>#VALUE!</v>
      </c>
      <c r="BJ43" s="45">
        <f>AVERAGE(BJ5:BJ39)</f>
        <v>4.6699339349109971E-5</v>
      </c>
      <c r="BK43" s="45">
        <f>AVERAGE(BK5:BK39)</f>
        <v>5.1751851150447779E-4</v>
      </c>
      <c r="BL43" s="45">
        <f>AVERAGE(BL5:BL39)</f>
        <v>5.860211067642185E-3</v>
      </c>
      <c r="BM43" s="45">
        <f>AVERAGE(BM5:BM39)</f>
        <v>-2.9290505952458633E-3</v>
      </c>
      <c r="BN43" s="45">
        <f>AVERAGE(BN5:BN39)</f>
        <v>-2.0744669858890675E-3</v>
      </c>
      <c r="BP43" s="45">
        <f>AVERAGE(BP5:BP39)</f>
        <v>-1.0138650670146632E-3</v>
      </c>
      <c r="BQ43" s="45">
        <f>AVERAGE(BQ5:BQ39)</f>
        <v>8.478508999198997E-5</v>
      </c>
      <c r="BR43" s="45">
        <f>AVERAGE(BR5:BR39)</f>
        <v>4.4948876271479589E-3</v>
      </c>
      <c r="BS43" s="45">
        <f>AVERAGE(BS5:BS39)</f>
        <v>-1.6564024733253025E-3</v>
      </c>
      <c r="BT43" s="45">
        <f>AVERAGE(BT5:BT39)</f>
        <v>-1.2772862579811361E-3</v>
      </c>
      <c r="BV43" s="51" t="e">
        <f>AVERAGE(BV5:BV39)</f>
        <v>#DIV/0!</v>
      </c>
      <c r="BW43" s="51" t="e">
        <f>AVERAGE(BW5:BW39)</f>
        <v>#DIV/0!</v>
      </c>
      <c r="BX43" s="51" t="e">
        <f t="shared" ref="BX43" si="24">AVERAGE(BX8:BX32)</f>
        <v>#DIV/0!</v>
      </c>
      <c r="BY43" s="51" t="e">
        <f>AVERAGE(BV43:BW43)</f>
        <v>#DIV/0!</v>
      </c>
      <c r="BZ43" s="51"/>
      <c r="CA43" s="51"/>
    </row>
    <row r="44" spans="1:81" hidden="1" outlineLevel="2" x14ac:dyDescent="0.15">
      <c r="A44" s="40" t="s">
        <v>151</v>
      </c>
      <c r="B44" s="40" t="s">
        <v>152</v>
      </c>
      <c r="AB44" s="42">
        <f>SUM(AB5:AB24,AB25:AB29,AB30:AB39)</f>
        <v>13583.588</v>
      </c>
      <c r="AC44" s="42">
        <f>SUM(AC5:AC24,AC25:AC29,AC30:AC39)</f>
        <v>12281.821999999998</v>
      </c>
      <c r="AD44" s="42">
        <f>SUM(AD5:AD24,AD25:AD29,AD30:AD39)</f>
        <v>42747.12999999999</v>
      </c>
      <c r="AE44" s="42">
        <f>SUM(AE5:AE24,AE25:AE29,AE30:AE39)</f>
        <v>256.86500000000001</v>
      </c>
      <c r="AZ44" s="42">
        <f>SUM(AZ5:AZ24,AZ25:AZ29,AZ30:AZ39)</f>
        <v>5619.4140000000007</v>
      </c>
      <c r="BA44" s="42">
        <f>SUM(BA5:BA24,BA25:BA29,BA30:BA39)</f>
        <v>5542.2219999999998</v>
      </c>
      <c r="BB44" s="42">
        <f>SUM(BB5:BB24,BB25:BB29,BB30:BB39)</f>
        <v>27981.462000000003</v>
      </c>
      <c r="BC44" s="42">
        <f>SUM(BC5:BC24,BC25:BC29,BC30:BC39)</f>
        <v>255.84800000000001</v>
      </c>
    </row>
    <row r="45" spans="1:81" hidden="1" outlineLevel="2" x14ac:dyDescent="0.15">
      <c r="B45" s="40" t="s">
        <v>153</v>
      </c>
      <c r="AZ45" s="47">
        <f>AZ44/AB44</f>
        <v>0.41369143410415576</v>
      </c>
      <c r="BA45" s="47">
        <f>BA44/AC44</f>
        <v>0.45125405660495654</v>
      </c>
      <c r="BB45" s="47">
        <f>BB44/AD44</f>
        <v>0.65458106778162672</v>
      </c>
      <c r="BC45" s="47">
        <f>BC44/AE44</f>
        <v>0.99604072177992331</v>
      </c>
    </row>
    <row r="46" spans="1:81" ht="27" hidden="1" outlineLevel="2" x14ac:dyDescent="0.15">
      <c r="B46" s="40" t="s">
        <v>154</v>
      </c>
      <c r="AB46" s="42">
        <f>GEOMEAN(AB5:AB24,AB25:AB29,AB30:AB39)</f>
        <v>539.64837334668141</v>
      </c>
      <c r="AC46" s="42">
        <f>GEOMEAN(AC5:AC24,AC25:AC29,AC30:AC39)</f>
        <v>485.97404488690677</v>
      </c>
      <c r="AD46" s="42">
        <f>GEOMEAN(AD5:AD24,AD25:AD29,AD30:AD39)</f>
        <v>1693.5332530839414</v>
      </c>
      <c r="AE46" s="42">
        <f>GEOMEAN(AE5:AE24,AE25:AE29,AE30:AE39)</f>
        <v>10.267166311101912</v>
      </c>
      <c r="AZ46" s="42">
        <f>GEOMEAN(AZ5:AZ24,AZ25:AZ29,AZ30:AZ39)</f>
        <v>207.04956845385462</v>
      </c>
      <c r="BA46" s="42">
        <f>GEOMEAN(BA5:BA24,BA25:BA29,BA30:BA39)</f>
        <v>200.62342492442352</v>
      </c>
      <c r="BB46" s="42">
        <f>GEOMEAN(BB5:BB24,BB25:BB29,BB30:BB39)</f>
        <v>1086.9167890219787</v>
      </c>
      <c r="BC46" s="42">
        <f>GEOMEAN(BC5:BC24,BC25:BC29,BC30:BC39)</f>
        <v>10.226951789866716</v>
      </c>
    </row>
    <row r="47" spans="1:81" ht="27" outlineLevel="2" collapsed="1" x14ac:dyDescent="0.15">
      <c r="B47" s="40" t="s">
        <v>155</v>
      </c>
      <c r="AZ47" s="47">
        <f>AZ46/AB46</f>
        <v>0.38367496073381407</v>
      </c>
      <c r="BA47" s="47">
        <f>BA46/AC46</f>
        <v>0.41282744836941138</v>
      </c>
      <c r="BB47" s="47">
        <f>BB46/AD46</f>
        <v>0.64180422028483475</v>
      </c>
      <c r="BC47" s="47">
        <f>BC46/AE46</f>
        <v>0.99608319179638571</v>
      </c>
    </row>
  </sheetData>
  <mergeCells count="45">
    <mergeCell ref="Q2:Q3"/>
    <mergeCell ref="A1:G1"/>
    <mergeCell ref="I1:AE1"/>
    <mergeCell ref="AG1:BC1"/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AO2:AO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BL2:BN2"/>
    <mergeCell ref="AP2:AP3"/>
    <mergeCell ref="AQ2:AT2"/>
    <mergeCell ref="AU2:AV2"/>
    <mergeCell ref="AW2:AY2"/>
    <mergeCell ref="AZ2:BA2"/>
    <mergeCell ref="BB2:BC2"/>
    <mergeCell ref="BE2:BE3"/>
    <mergeCell ref="BF2:BF3"/>
    <mergeCell ref="BG2:BG3"/>
    <mergeCell ref="BH2:BH3"/>
    <mergeCell ref="BJ2:BK2"/>
    <mergeCell ref="BP2:BQ2"/>
    <mergeCell ref="BR2:BT2"/>
    <mergeCell ref="BV2:BY2"/>
    <mergeCell ref="CD2:CF2"/>
    <mergeCell ref="BZ2:CC2"/>
  </mergeCells>
  <phoneticPr fontId="2" type="noConversion"/>
  <conditionalFormatting sqref="BE5:BE43">
    <cfRule type="cellIs" dxfId="153" priority="1" operator="greaterThanOrEqual">
      <formula>1.03</formula>
    </cfRule>
    <cfRule type="cellIs" dxfId="152" priority="2" operator="lessThanOrEqual">
      <formula>0.97</formula>
    </cfRule>
  </conditionalFormatting>
  <conditionalFormatting sqref="BJ5:BJ43">
    <cfRule type="cellIs" dxfId="151" priority="21" operator="greaterThanOrEqual">
      <formula>0.03</formula>
    </cfRule>
    <cfRule type="cellIs" dxfId="150" priority="22" operator="lessThanOrEqual">
      <formula>-0.03</formula>
    </cfRule>
  </conditionalFormatting>
  <conditionalFormatting sqref="BK5:BK43">
    <cfRule type="cellIs" dxfId="149" priority="19" operator="greaterThanOrEqual">
      <formula>0.03</formula>
    </cfRule>
    <cfRule type="cellIs" dxfId="148" priority="20" operator="lessThanOrEqual">
      <formula>-0.03</formula>
    </cfRule>
  </conditionalFormatting>
  <conditionalFormatting sqref="BL5:BL43">
    <cfRule type="cellIs" dxfId="147" priority="5" operator="greaterThanOrEqual">
      <formula>0.03</formula>
    </cfRule>
    <cfRule type="cellIs" dxfId="146" priority="6" operator="lessThanOrEqual">
      <formula>-0.03</formula>
    </cfRule>
  </conditionalFormatting>
  <conditionalFormatting sqref="BM5:BM43">
    <cfRule type="cellIs" dxfId="145" priority="9" operator="greaterThanOrEqual">
      <formula>0.03</formula>
    </cfRule>
    <cfRule type="cellIs" dxfId="144" priority="10" operator="lessThanOrEqual">
      <formula>-0.03</formula>
    </cfRule>
  </conditionalFormatting>
  <conditionalFormatting sqref="BN5:BN43">
    <cfRule type="cellIs" dxfId="143" priority="11" operator="greaterThanOrEqual">
      <formula>0.03</formula>
    </cfRule>
    <cfRule type="cellIs" dxfId="142" priority="12" operator="lessThanOrEqual">
      <formula>-0.03</formula>
    </cfRule>
  </conditionalFormatting>
  <conditionalFormatting sqref="BP5:BP43">
    <cfRule type="cellIs" dxfId="141" priority="7" operator="greaterThanOrEqual">
      <formula>0.03</formula>
    </cfRule>
    <cfRule type="cellIs" dxfId="140" priority="8" operator="lessThanOrEqual">
      <formula>-0.03</formula>
    </cfRule>
  </conditionalFormatting>
  <conditionalFormatting sqref="BQ5:BQ43">
    <cfRule type="cellIs" dxfId="139" priority="13" operator="greaterThanOrEqual">
      <formula>0.03</formula>
    </cfRule>
    <cfRule type="cellIs" dxfId="138" priority="14" operator="lessThanOrEqual">
      <formula>-0.03</formula>
    </cfRule>
  </conditionalFormatting>
  <conditionalFormatting sqref="BR5:BR43">
    <cfRule type="cellIs" dxfId="137" priority="3" operator="greaterThanOrEqual">
      <formula>0.03</formula>
    </cfRule>
    <cfRule type="cellIs" dxfId="136" priority="4" operator="lessThanOrEqual">
      <formula>-0.03</formula>
    </cfRule>
  </conditionalFormatting>
  <conditionalFormatting sqref="BS5:BS43">
    <cfRule type="cellIs" dxfId="135" priority="15" operator="greaterThanOrEqual">
      <formula>0.03</formula>
    </cfRule>
    <cfRule type="cellIs" dxfId="134" priority="16" operator="lessThanOrEqual">
      <formula>-0.03</formula>
    </cfRule>
  </conditionalFormatting>
  <conditionalFormatting sqref="BT5:BT43">
    <cfRule type="cellIs" dxfId="133" priority="17" operator="greaterThanOrEqual">
      <formula>0.03</formula>
    </cfRule>
    <cfRule type="cellIs" dxfId="132" priority="1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10BB8-DF09-4CE4-BA7A-2470C98209E2}">
  <sheetPr>
    <outlinePr summaryBelow="0"/>
  </sheetPr>
  <dimension ref="A1:CF47"/>
  <sheetViews>
    <sheetView zoomScale="85" zoomScaleNormal="85" workbookViewId="0">
      <pane xSplit="2" ySplit="4" topLeftCell="BH5" activePane="bottomRight" state="frozen"/>
      <selection pane="topRight" activeCell="C1" sqref="C1"/>
      <selection pane="bottomLeft" activeCell="A5" sqref="A5"/>
      <selection pane="bottomRight" activeCell="BN13" sqref="BN13"/>
    </sheetView>
  </sheetViews>
  <sheetFormatPr defaultRowHeight="13.5" outlineLevelRow="2" x14ac:dyDescent="0.15"/>
  <cols>
    <col min="2" max="2" width="24.75" customWidth="1"/>
    <col min="4" max="5" width="10.75" customWidth="1"/>
    <col min="8" max="8" width="1.75" customWidth="1"/>
    <col min="10" max="13" width="10.75" customWidth="1"/>
    <col min="14" max="14" width="24.75" hidden="1" customWidth="1"/>
    <col min="15" max="15" width="12.75" customWidth="1"/>
    <col min="16" max="16" width="10.75" customWidth="1"/>
    <col min="19" max="22" width="12.75" customWidth="1"/>
    <col min="23" max="27" width="11.75" customWidth="1"/>
    <col min="32" max="32" width="1.75" customWidth="1"/>
    <col min="34" max="37" width="10.75" customWidth="1"/>
    <col min="38" max="38" width="24.75" hidden="1" customWidth="1"/>
    <col min="39" max="39" width="12.75" customWidth="1"/>
    <col min="40" max="40" width="10.75" customWidth="1"/>
    <col min="43" max="46" width="12.75" customWidth="1"/>
    <col min="47" max="51" width="11.75" customWidth="1"/>
    <col min="56" max="56" width="1.75" customWidth="1"/>
    <col min="61" max="61" width="1.75" customWidth="1"/>
    <col min="64" max="66" width="11.75" customWidth="1"/>
    <col min="67" max="67" width="1.75" customWidth="1"/>
    <col min="70" max="72" width="11.75" customWidth="1"/>
    <col min="73" max="73" width="1.75" customWidth="1"/>
    <col min="74" max="74" width="10.75" bestFit="1" customWidth="1"/>
    <col min="75" max="75" width="12" bestFit="1" customWidth="1"/>
    <col min="76" max="76" width="10.625" customWidth="1"/>
    <col min="77" max="79" width="11.25" customWidth="1"/>
    <col min="82" max="84" width="9" style="51"/>
  </cols>
  <sheetData>
    <row r="1" spans="1:84" x14ac:dyDescent="0.15">
      <c r="A1" s="70" t="s">
        <v>50</v>
      </c>
      <c r="B1" s="62"/>
      <c r="C1" s="62"/>
      <c r="D1" s="62"/>
      <c r="E1" s="62"/>
      <c r="F1" s="62"/>
      <c r="G1" s="62"/>
      <c r="I1" s="71" t="e">
        <f>#REF!</f>
        <v>#REF!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G1" s="72" t="e">
        <f>#REF!</f>
        <v>#REF!</v>
      </c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</row>
    <row r="2" spans="1:84" ht="30" customHeight="1" thickBot="1" x14ac:dyDescent="0.2">
      <c r="A2" s="69" t="s">
        <v>51</v>
      </c>
      <c r="B2" s="67" t="s">
        <v>52</v>
      </c>
      <c r="C2" s="69" t="s">
        <v>53</v>
      </c>
      <c r="D2" s="67" t="s">
        <v>54</v>
      </c>
      <c r="E2" s="69" t="s">
        <v>55</v>
      </c>
      <c r="F2" s="67" t="s">
        <v>56</v>
      </c>
      <c r="G2" s="69" t="s">
        <v>57</v>
      </c>
      <c r="I2" s="67" t="s">
        <v>58</v>
      </c>
      <c r="J2" s="63" t="s">
        <v>59</v>
      </c>
      <c r="K2" s="62"/>
      <c r="L2" s="62"/>
      <c r="M2" s="62"/>
      <c r="N2" s="69" t="s">
        <v>60</v>
      </c>
      <c r="O2" s="67" t="s">
        <v>61</v>
      </c>
      <c r="P2" s="69" t="s">
        <v>33</v>
      </c>
      <c r="Q2" s="67" t="s">
        <v>35</v>
      </c>
      <c r="R2" s="69" t="s">
        <v>31</v>
      </c>
      <c r="S2" s="61" t="s">
        <v>62</v>
      </c>
      <c r="T2" s="62"/>
      <c r="U2" s="62"/>
      <c r="V2" s="62"/>
      <c r="W2" s="63" t="s">
        <v>63</v>
      </c>
      <c r="X2" s="62"/>
      <c r="Y2" s="61" t="s">
        <v>64</v>
      </c>
      <c r="Z2" s="62"/>
      <c r="AA2" s="62"/>
      <c r="AB2" s="63" t="s">
        <v>65</v>
      </c>
      <c r="AC2" s="62"/>
      <c r="AD2" s="61" t="s">
        <v>66</v>
      </c>
      <c r="AE2" s="62"/>
      <c r="AG2" s="69" t="s">
        <v>58</v>
      </c>
      <c r="AH2" s="61" t="s">
        <v>59</v>
      </c>
      <c r="AI2" s="62"/>
      <c r="AJ2" s="62"/>
      <c r="AK2" s="62"/>
      <c r="AL2" s="67" t="s">
        <v>67</v>
      </c>
      <c r="AM2" s="69" t="s">
        <v>61</v>
      </c>
      <c r="AN2" s="67" t="s">
        <v>33</v>
      </c>
      <c r="AO2" s="69" t="s">
        <v>35</v>
      </c>
      <c r="AP2" s="67" t="s">
        <v>31</v>
      </c>
      <c r="AQ2" s="63" t="s">
        <v>62</v>
      </c>
      <c r="AR2" s="62"/>
      <c r="AS2" s="62"/>
      <c r="AT2" s="62"/>
      <c r="AU2" s="61" t="s">
        <v>63</v>
      </c>
      <c r="AV2" s="62"/>
      <c r="AW2" s="63" t="s">
        <v>64</v>
      </c>
      <c r="AX2" s="62"/>
      <c r="AY2" s="62"/>
      <c r="AZ2" s="61" t="s">
        <v>65</v>
      </c>
      <c r="BA2" s="62"/>
      <c r="BB2" s="63" t="s">
        <v>66</v>
      </c>
      <c r="BC2" s="62"/>
      <c r="BE2" s="67" t="s">
        <v>68</v>
      </c>
      <c r="BF2" s="69" t="s">
        <v>69</v>
      </c>
      <c r="BG2" s="67" t="s">
        <v>70</v>
      </c>
      <c r="BH2" s="69" t="s">
        <v>70</v>
      </c>
      <c r="BJ2" s="61" t="s">
        <v>0</v>
      </c>
      <c r="BK2" s="62"/>
      <c r="BL2" s="63" t="s">
        <v>1</v>
      </c>
      <c r="BM2" s="62"/>
      <c r="BN2" s="62"/>
      <c r="BP2" s="61" t="s">
        <v>2</v>
      </c>
      <c r="BQ2" s="62"/>
      <c r="BR2" s="63" t="s">
        <v>3</v>
      </c>
      <c r="BS2" s="62"/>
      <c r="BT2" s="62"/>
      <c r="BV2" s="64" t="s">
        <v>478</v>
      </c>
      <c r="BW2" s="64"/>
      <c r="BX2" s="64"/>
      <c r="BY2" s="64"/>
      <c r="BZ2" s="66" t="s">
        <v>481</v>
      </c>
      <c r="CA2" s="66"/>
      <c r="CB2" s="66"/>
      <c r="CC2" s="66"/>
      <c r="CD2" s="65" t="s">
        <v>484</v>
      </c>
      <c r="CE2" s="64"/>
      <c r="CF2" s="64"/>
    </row>
    <row r="3" spans="1:84" ht="14.25" thickBot="1" x14ac:dyDescent="0.2">
      <c r="A3" s="68"/>
      <c r="B3" s="68"/>
      <c r="C3" s="68"/>
      <c r="D3" s="68"/>
      <c r="E3" s="68"/>
      <c r="F3" s="68"/>
      <c r="G3" s="68"/>
      <c r="I3" s="68"/>
      <c r="J3" s="48" t="s">
        <v>15</v>
      </c>
      <c r="K3" s="48" t="s">
        <v>13</v>
      </c>
      <c r="L3" s="48" t="s">
        <v>71</v>
      </c>
      <c r="M3" s="48" t="s">
        <v>72</v>
      </c>
      <c r="N3" s="68"/>
      <c r="O3" s="68"/>
      <c r="P3" s="68"/>
      <c r="Q3" s="68"/>
      <c r="R3" s="68"/>
      <c r="S3" s="49" t="s">
        <v>15</v>
      </c>
      <c r="T3" s="49" t="s">
        <v>71</v>
      </c>
      <c r="U3" s="49" t="s">
        <v>73</v>
      </c>
      <c r="V3" s="49" t="s">
        <v>14</v>
      </c>
      <c r="W3" s="48" t="s">
        <v>4</v>
      </c>
      <c r="X3" s="48" t="s">
        <v>5</v>
      </c>
      <c r="Y3" s="49" t="s">
        <v>6</v>
      </c>
      <c r="Z3" s="49" t="s">
        <v>7</v>
      </c>
      <c r="AA3" s="49" t="s">
        <v>8</v>
      </c>
      <c r="AB3" s="48" t="s">
        <v>74</v>
      </c>
      <c r="AC3" s="48" t="s">
        <v>75</v>
      </c>
      <c r="AD3" s="49" t="s">
        <v>74</v>
      </c>
      <c r="AE3" s="49" t="s">
        <v>75</v>
      </c>
      <c r="AG3" s="68"/>
      <c r="AH3" s="49" t="s">
        <v>15</v>
      </c>
      <c r="AI3" s="49" t="s">
        <v>13</v>
      </c>
      <c r="AJ3" s="49" t="s">
        <v>71</v>
      </c>
      <c r="AK3" s="49" t="s">
        <v>72</v>
      </c>
      <c r="AL3" s="68"/>
      <c r="AM3" s="68"/>
      <c r="AN3" s="68"/>
      <c r="AO3" s="68"/>
      <c r="AP3" s="68"/>
      <c r="AQ3" s="48" t="s">
        <v>15</v>
      </c>
      <c r="AR3" s="48" t="s">
        <v>71</v>
      </c>
      <c r="AS3" s="48" t="s">
        <v>73</v>
      </c>
      <c r="AT3" s="48" t="s">
        <v>14</v>
      </c>
      <c r="AU3" s="49" t="s">
        <v>4</v>
      </c>
      <c r="AV3" s="49" t="s">
        <v>5</v>
      </c>
      <c r="AW3" s="48" t="s">
        <v>6</v>
      </c>
      <c r="AX3" s="48" t="s">
        <v>7</v>
      </c>
      <c r="AY3" s="48" t="s">
        <v>8</v>
      </c>
      <c r="AZ3" s="49" t="s">
        <v>74</v>
      </c>
      <c r="BA3" s="49" t="s">
        <v>75</v>
      </c>
      <c r="BB3" s="48" t="s">
        <v>74</v>
      </c>
      <c r="BC3" s="48" t="s">
        <v>75</v>
      </c>
      <c r="BE3" s="68"/>
      <c r="BF3" s="68"/>
      <c r="BG3" s="68"/>
      <c r="BH3" s="68"/>
      <c r="BJ3" s="49" t="s">
        <v>4</v>
      </c>
      <c r="BK3" s="49" t="s">
        <v>5</v>
      </c>
      <c r="BL3" s="48" t="s">
        <v>6</v>
      </c>
      <c r="BM3" s="48" t="s">
        <v>7</v>
      </c>
      <c r="BN3" s="48" t="s">
        <v>8</v>
      </c>
      <c r="BP3" s="49" t="s">
        <v>4</v>
      </c>
      <c r="BQ3" s="49" t="s">
        <v>5</v>
      </c>
      <c r="BR3" s="48" t="s">
        <v>6</v>
      </c>
      <c r="BS3" s="48" t="s">
        <v>7</v>
      </c>
      <c r="BT3" s="48" t="s">
        <v>8</v>
      </c>
      <c r="BV3" s="50" t="s">
        <v>71</v>
      </c>
      <c r="BW3" s="50" t="s">
        <v>479</v>
      </c>
      <c r="BX3" s="50" t="s">
        <v>480</v>
      </c>
      <c r="BY3" s="56" t="s">
        <v>487</v>
      </c>
      <c r="BZ3" s="53" t="s">
        <v>485</v>
      </c>
      <c r="CA3" s="50" t="s">
        <v>486</v>
      </c>
      <c r="CB3" s="50" t="s">
        <v>480</v>
      </c>
      <c r="CC3" s="56" t="s">
        <v>487</v>
      </c>
      <c r="CD3" s="50" t="s">
        <v>482</v>
      </c>
      <c r="CE3" s="50" t="s">
        <v>483</v>
      </c>
      <c r="CF3" s="50" t="s">
        <v>480</v>
      </c>
    </row>
    <row r="4" spans="1:84" ht="123" hidden="1" customHeight="1" thickBot="1" x14ac:dyDescent="0.2">
      <c r="A4" s="1" t="s">
        <v>76</v>
      </c>
      <c r="B4" s="2" t="s">
        <v>77</v>
      </c>
      <c r="C4" s="1" t="s">
        <v>78</v>
      </c>
      <c r="D4" s="2" t="s">
        <v>79</v>
      </c>
      <c r="E4" s="1" t="s">
        <v>80</v>
      </c>
      <c r="F4" s="2" t="s">
        <v>81</v>
      </c>
      <c r="G4" s="1" t="s">
        <v>82</v>
      </c>
      <c r="I4" s="2" t="s">
        <v>83</v>
      </c>
      <c r="J4" s="1" t="s">
        <v>84</v>
      </c>
      <c r="K4" s="1" t="s">
        <v>85</v>
      </c>
      <c r="L4" s="1" t="s">
        <v>86</v>
      </c>
      <c r="M4" s="1" t="s">
        <v>87</v>
      </c>
      <c r="N4" s="1" t="s">
        <v>88</v>
      </c>
      <c r="O4" s="2" t="s">
        <v>89</v>
      </c>
      <c r="P4" s="1" t="s">
        <v>90</v>
      </c>
      <c r="Q4" s="2" t="s">
        <v>91</v>
      </c>
      <c r="R4" s="1" t="s">
        <v>92</v>
      </c>
      <c r="S4" s="2" t="s">
        <v>93</v>
      </c>
      <c r="T4" s="2" t="s">
        <v>94</v>
      </c>
      <c r="U4" s="2" t="s">
        <v>95</v>
      </c>
      <c r="V4" s="2" t="s">
        <v>96</v>
      </c>
      <c r="W4" s="1" t="s">
        <v>97</v>
      </c>
      <c r="X4" s="1" t="s">
        <v>98</v>
      </c>
      <c r="Y4" s="2" t="s">
        <v>99</v>
      </c>
      <c r="Z4" s="2" t="s">
        <v>100</v>
      </c>
      <c r="AA4" s="2" t="s">
        <v>101</v>
      </c>
      <c r="AB4" s="1" t="s">
        <v>102</v>
      </c>
      <c r="AC4" s="1" t="s">
        <v>103</v>
      </c>
      <c r="AD4" s="2" t="s">
        <v>104</v>
      </c>
      <c r="AE4" s="2" t="s">
        <v>105</v>
      </c>
      <c r="AG4" s="1" t="s">
        <v>106</v>
      </c>
      <c r="AH4" s="2" t="s">
        <v>107</v>
      </c>
      <c r="AI4" s="2" t="s">
        <v>108</v>
      </c>
      <c r="AJ4" s="2" t="s">
        <v>109</v>
      </c>
      <c r="AK4" s="2" t="s">
        <v>110</v>
      </c>
      <c r="AL4" s="2" t="s">
        <v>111</v>
      </c>
      <c r="AM4" s="1" t="s">
        <v>112</v>
      </c>
      <c r="AN4" s="2" t="s">
        <v>113</v>
      </c>
      <c r="AO4" s="1" t="s">
        <v>114</v>
      </c>
      <c r="AP4" s="2" t="s">
        <v>115</v>
      </c>
      <c r="AQ4" s="1" t="s">
        <v>116</v>
      </c>
      <c r="AR4" s="1" t="s">
        <v>117</v>
      </c>
      <c r="AS4" s="1" t="s">
        <v>118</v>
      </c>
      <c r="AT4" s="1" t="s">
        <v>119</v>
      </c>
      <c r="AU4" s="2" t="s">
        <v>120</v>
      </c>
      <c r="AV4" s="2" t="s">
        <v>121</v>
      </c>
      <c r="AW4" s="1" t="s">
        <v>122</v>
      </c>
      <c r="AX4" s="1" t="s">
        <v>123</v>
      </c>
      <c r="AY4" s="1" t="s">
        <v>124</v>
      </c>
      <c r="AZ4" s="2" t="s">
        <v>125</v>
      </c>
      <c r="BA4" s="2" t="s">
        <v>126</v>
      </c>
      <c r="BB4" s="1" t="s">
        <v>127</v>
      </c>
      <c r="BC4" s="1" t="s">
        <v>128</v>
      </c>
      <c r="BE4" s="2" t="s">
        <v>129</v>
      </c>
      <c r="BF4" s="1" t="s">
        <v>130</v>
      </c>
      <c r="BG4" s="2" t="s">
        <v>131</v>
      </c>
      <c r="BH4" s="1" t="s">
        <v>132</v>
      </c>
      <c r="BJ4" s="2" t="s">
        <v>133</v>
      </c>
      <c r="BK4" s="2" t="s">
        <v>134</v>
      </c>
      <c r="BL4" s="1" t="s">
        <v>135</v>
      </c>
      <c r="BM4" s="1" t="s">
        <v>136</v>
      </c>
      <c r="BN4" s="1" t="s">
        <v>137</v>
      </c>
      <c r="BP4" s="2" t="s">
        <v>138</v>
      </c>
      <c r="BQ4" s="2" t="s">
        <v>139</v>
      </c>
      <c r="BR4" s="1" t="s">
        <v>140</v>
      </c>
      <c r="BS4" s="1" t="s">
        <v>141</v>
      </c>
      <c r="BT4" s="1" t="s">
        <v>142</v>
      </c>
      <c r="BZ4" s="54"/>
      <c r="CC4" s="57"/>
    </row>
    <row r="5" spans="1:84" x14ac:dyDescent="0.15">
      <c r="A5" s="46" t="s">
        <v>143</v>
      </c>
      <c r="B5" s="46" t="s">
        <v>17</v>
      </c>
      <c r="C5" s="3" t="s">
        <v>144</v>
      </c>
      <c r="D5" s="46">
        <v>238146391</v>
      </c>
      <c r="E5" s="3">
        <v>10</v>
      </c>
      <c r="F5" s="3">
        <v>32</v>
      </c>
      <c r="G5" s="3">
        <v>30</v>
      </c>
      <c r="I5" s="4">
        <f t="shared" ref="I5:I39" si="0">IF(OR(ISBLANK(S5),ISBLANK(G5)),"·",S5*G5/F5/1000000)</f>
        <v>2.1789900000000002</v>
      </c>
      <c r="J5" s="5">
        <f t="shared" ref="J5:J39" si="1">IF(ISBLANK(S5),"·",S5/D5)</f>
        <v>9.7597783877396652E-3</v>
      </c>
      <c r="K5" s="5">
        <f t="shared" ref="K5:K39" si="2">IF(N5="","·",N5/D5)</f>
        <v>6.1712629522905514E-3</v>
      </c>
      <c r="L5" s="5">
        <f t="shared" ref="L5:L39" si="3">IF(T5="","·",T5/D5)</f>
        <v>3.5270742356116581E-3</v>
      </c>
      <c r="M5" s="5">
        <f t="shared" ref="M5:M39" si="4">IF(ISBLANK(V5),"·",V5/D5)</f>
        <v>3.5885154354491143E-3</v>
      </c>
      <c r="N5" s="46">
        <f t="shared" ref="N5:N39" si="5">IF(OR(ISBLANK(T5),ISBLANK(U5)),"",T5+U5)</f>
        <v>1469664</v>
      </c>
      <c r="O5" s="5">
        <v>-12</v>
      </c>
      <c r="P5" s="6">
        <v>21771728</v>
      </c>
      <c r="Q5" s="6">
        <v>680366.5</v>
      </c>
      <c r="R5" s="6">
        <v>13458.65625</v>
      </c>
      <c r="S5" s="7">
        <v>2324256</v>
      </c>
      <c r="T5" s="7">
        <v>839960</v>
      </c>
      <c r="U5" s="7">
        <v>629704</v>
      </c>
      <c r="V5" s="7">
        <v>854592</v>
      </c>
      <c r="W5" s="8">
        <v>66.355962500000004</v>
      </c>
      <c r="X5" s="8">
        <v>68.483328125</v>
      </c>
      <c r="Y5" s="8">
        <v>32.113043750000003</v>
      </c>
      <c r="Z5" s="8">
        <v>44.188546875</v>
      </c>
      <c r="AA5" s="8">
        <v>43.811181249999898</v>
      </c>
      <c r="AB5" s="9">
        <v>431.88900000000001</v>
      </c>
      <c r="AC5" s="9">
        <v>404.07100000000003</v>
      </c>
      <c r="AD5" s="9">
        <v>1435.05</v>
      </c>
      <c r="AE5" s="9">
        <v>9.9529999999999994</v>
      </c>
      <c r="AG5" s="4">
        <f t="shared" ref="AG5:AG39" si="6">IF(OR(ISBLANK(AQ5),ISBLANK(G5)),"·",AQ5*G5/F5/1000000)</f>
        <v>2.1899250000000001</v>
      </c>
      <c r="AH5" s="5">
        <f t="shared" ref="AH5:AH39" si="7">IF(ISBLANK(AQ5),"·",AQ5/D5)</f>
        <v>9.8087566651387965E-3</v>
      </c>
      <c r="AI5" s="5">
        <f t="shared" ref="AI5:AI39" si="8">IF(AL5="","·",AL5/D5)</f>
        <v>6.2184608121984937E-3</v>
      </c>
      <c r="AJ5" s="5">
        <f t="shared" ref="AJ5:AJ39" si="9">IF(AR5="","·",AR5/D5)</f>
        <v>3.5742720955195999E-3</v>
      </c>
      <c r="AK5" s="5">
        <f t="shared" ref="AK5:AK39" si="10">IF(ISBLANK(AT5),"·",AT5/D5)</f>
        <v>3.5902958529403033E-3</v>
      </c>
      <c r="AL5" s="46">
        <f t="shared" ref="AL5:AL39" si="11">IF(OR(ISBLANK(AR5),ISBLANK(AS5)),"",AR5+AS5)</f>
        <v>1480904</v>
      </c>
      <c r="AM5" s="5">
        <v>-12</v>
      </c>
      <c r="AN5" s="6"/>
      <c r="AO5" s="6"/>
      <c r="AP5" s="6"/>
      <c r="AQ5" s="7">
        <v>2335920</v>
      </c>
      <c r="AR5" s="7">
        <v>851200</v>
      </c>
      <c r="AS5" s="7">
        <v>629704</v>
      </c>
      <c r="AT5" s="7">
        <v>855016</v>
      </c>
      <c r="AU5" s="8">
        <v>66.347878124999994</v>
      </c>
      <c r="AV5" s="8">
        <v>68.448978124999996</v>
      </c>
      <c r="AW5" s="8">
        <v>32.091746874999998</v>
      </c>
      <c r="AX5" s="8">
        <v>44.163796874999903</v>
      </c>
      <c r="AY5" s="8">
        <v>43.81671875</v>
      </c>
      <c r="AZ5" s="9">
        <v>98.465999999999994</v>
      </c>
      <c r="BA5" s="9">
        <v>81.363</v>
      </c>
      <c r="BB5" s="9">
        <v>781.17100000000005</v>
      </c>
      <c r="BC5" s="9">
        <v>9.7650000000000006</v>
      </c>
      <c r="BE5" s="44">
        <f t="shared" ref="BE5:BE43" si="12">AI5/K5</f>
        <v>1.0076480066192002</v>
      </c>
      <c r="BF5" s="10" t="e">
        <f t="shared" ref="BF5:BF39" si="13">(AP5/AO5) - (R5/Q5)</f>
        <v>#DIV/0!</v>
      </c>
      <c r="BG5" s="10">
        <f t="shared" ref="BG5:BG39" si="14">(AL5/AQ5) - (N5/S5)</f>
        <v>1.6544519783220357E-3</v>
      </c>
      <c r="BH5" s="10">
        <f t="array" ref="BH5">AVERAGE(AL5:AL9/AQ5:AQ9) - AVERAGE(N5:N9/S5:S9)</f>
        <v>2.0836576841096743E-3</v>
      </c>
      <c r="BJ5" s="44">
        <f>IF( OR(ISBLANK(N5:N9),ISBLANK(AL5:AL9), ISBLANK(W5:W9),ISBLANK(AU5:AU9)), "·", bdRateExtend( N5:N9,W5:W9, AL5:AL9,AU5:AU9))</f>
        <v>1.4367112643205449E-2</v>
      </c>
      <c r="BK5" s="44">
        <f>IF( OR(ISBLANK(N5:N9),ISBLANK(AL5:AL9), ISBLANK(X5:X9),ISBLANK(AV5:AV9)), "·", bdRateExtend( N5:N9,X5:X9, AL5:AL9,AV5:AV9))</f>
        <v>1.6713100112079493E-2</v>
      </c>
      <c r="BL5" s="44">
        <f>IF( OR(ISBLANK(V5:V9),ISBLANK(AT5:AT9), ISBLANK(Y5:Y9),ISBLANK(AW5:AW9)), "·", bdRateExtend( V5:V9,Y5:Y9, AT5:AT9,AW5:AW9))</f>
        <v>1.1320481160839169E-2</v>
      </c>
      <c r="BM5" s="44">
        <f>IF( OR(ISBLANK(V5:V9),ISBLANK(AT5:AT9), ISBLANK(Z5:Z9),ISBLANK(AX5:AX9)), "·", bdRateExtend( V5:V9,Z5:Z9, AT5:AT9,AX5:AX9))</f>
        <v>-2.0249301109983575E-3</v>
      </c>
      <c r="BN5" s="44">
        <f>IF( OR(ISBLANK(V5:V9),ISBLANK(AT5:AT9), ISBLANK(AA5:AA9),ISBLANK(AY5:AY9)), "·", bdRateExtend( V5:V9,AA5:AA9, AT5:AT9,AY5:AY9))</f>
        <v>-1.4552088876824909E-2</v>
      </c>
      <c r="BP5" s="44">
        <f>IF( OR(ISBLANK(S5:S9),ISBLANK(AQ5:AQ9), ISBLANK(W5:W9),ISBLANK(AU5:AU9)), "·", bdRateExtend( S5:S9,W5:W9, AQ5:AQ9,AU5:AU9))</f>
        <v>1.0370178960000587E-2</v>
      </c>
      <c r="BQ5" s="44">
        <f>IF( OR(ISBLANK(S5:S9),ISBLANK(AQ5:AQ9), ISBLANK(X5:X9),ISBLANK(AV5:AV9)), "·", bdRateExtend( S5:S9,X5:X9, AQ5:AQ9,AV5:AV9))</f>
        <v>1.3842390519297254E-2</v>
      </c>
      <c r="BR5" s="44">
        <f>IF( OR(ISBLANK(S5:S9),ISBLANK(AQ5:AQ9), ISBLANK(Y5:Y9),ISBLANK(AW5:AW9)), "·", bdRateExtend( S5:S9,Y5:Y9, AQ5:AQ9,AW5:AW9))</f>
        <v>1.3276358936047394E-2</v>
      </c>
      <c r="BS5" s="44">
        <f>IF( OR(ISBLANK(S5:S9),ISBLANK(AQ5:AQ9), ISBLANK(Z5:Z9),ISBLANK(AX5:AX9)), "·", bdRateExtend( S5:S9,Z5:Z9, AQ5:AQ9,AX5:AX9))</f>
        <v>1.0907172897804962E-3</v>
      </c>
      <c r="BT5" s="44">
        <f>IF( OR(ISBLANK(S5:S9),ISBLANK(AQ5:AQ9), ISBLANK(AA5:AA9),ISBLANK(AY5:AY9)), "·", bdRateExtend( S5:S9,AA5:AA9, AQ5:AQ9,AY5:AY9))</f>
        <v>-6.9351182403341038E-3</v>
      </c>
      <c r="BV5" s="51">
        <f t="shared" ref="BV5:BX20" si="15">(AB5-AZ5)/AB5</f>
        <v>0.77201086390253049</v>
      </c>
      <c r="BW5" s="51">
        <f t="shared" si="15"/>
        <v>0.79864182284796481</v>
      </c>
      <c r="BX5" s="51">
        <f t="shared" si="15"/>
        <v>0.45564893209295837</v>
      </c>
      <c r="BY5" s="51">
        <f>AVERAGE(BV5:BW5)</f>
        <v>0.78532634337524765</v>
      </c>
      <c r="BZ5" s="55"/>
      <c r="CA5" s="51"/>
      <c r="CC5" s="57"/>
    </row>
    <row r="6" spans="1:84" outlineLevel="1" x14ac:dyDescent="0.15">
      <c r="A6" s="11"/>
      <c r="B6" s="11" t="s">
        <v>17</v>
      </c>
      <c r="C6" s="12" t="s">
        <v>145</v>
      </c>
      <c r="D6" s="11">
        <v>238146391</v>
      </c>
      <c r="E6" s="12">
        <v>10</v>
      </c>
      <c r="F6" s="12">
        <v>32</v>
      </c>
      <c r="G6" s="12">
        <v>30</v>
      </c>
      <c r="I6" s="13">
        <f t="shared" si="0"/>
        <v>3.388665</v>
      </c>
      <c r="J6" s="14">
        <f t="shared" si="1"/>
        <v>1.5177958334040006E-2</v>
      </c>
      <c r="K6" s="14">
        <f t="shared" si="2"/>
        <v>7.5204498900006429E-3</v>
      </c>
      <c r="L6" s="14">
        <f t="shared" si="3"/>
        <v>4.8762611733217491E-3</v>
      </c>
      <c r="M6" s="14">
        <f t="shared" si="4"/>
        <v>7.6575084440393638E-3</v>
      </c>
      <c r="N6" s="11">
        <f t="shared" si="5"/>
        <v>1790968</v>
      </c>
      <c r="O6" s="14">
        <v>-12</v>
      </c>
      <c r="P6" s="15">
        <v>24147688</v>
      </c>
      <c r="Q6" s="15">
        <v>754615.25</v>
      </c>
      <c r="R6" s="15">
        <v>19012.03125</v>
      </c>
      <c r="S6" s="16">
        <v>3614576</v>
      </c>
      <c r="T6" s="16">
        <v>1161264</v>
      </c>
      <c r="U6" s="16">
        <v>629704</v>
      </c>
      <c r="V6" s="16">
        <v>1823608</v>
      </c>
      <c r="W6" s="17">
        <v>68.241949999999903</v>
      </c>
      <c r="X6" s="17">
        <v>70.429959374999996</v>
      </c>
      <c r="Y6" s="17">
        <v>34.357659374999997</v>
      </c>
      <c r="Z6" s="17">
        <v>45.4717531249999</v>
      </c>
      <c r="AA6" s="17">
        <v>45.224109374999998</v>
      </c>
      <c r="AB6" s="18">
        <v>463.45600000000002</v>
      </c>
      <c r="AC6" s="18">
        <v>410.53100000000001</v>
      </c>
      <c r="AD6" s="18">
        <v>1478.13</v>
      </c>
      <c r="AE6" s="18">
        <v>9.859</v>
      </c>
      <c r="AG6" s="13">
        <f t="shared" si="6"/>
        <v>3.4114200000000001</v>
      </c>
      <c r="AH6" s="14">
        <f t="shared" si="7"/>
        <v>1.5279878837214879E-2</v>
      </c>
      <c r="AI6" s="14">
        <f t="shared" si="8"/>
        <v>7.5982843678701808E-3</v>
      </c>
      <c r="AJ6" s="14">
        <f t="shared" si="9"/>
        <v>4.9540956511912879E-3</v>
      </c>
      <c r="AK6" s="14">
        <f t="shared" si="10"/>
        <v>7.6815944693446984E-3</v>
      </c>
      <c r="AL6" s="11">
        <f t="shared" si="11"/>
        <v>1809504</v>
      </c>
      <c r="AM6" s="14">
        <v>-12</v>
      </c>
      <c r="AN6" s="15"/>
      <c r="AO6" s="15"/>
      <c r="AP6" s="15"/>
      <c r="AQ6" s="16">
        <v>3638848</v>
      </c>
      <c r="AR6" s="16">
        <v>1179800</v>
      </c>
      <c r="AS6" s="16">
        <v>629704</v>
      </c>
      <c r="AT6" s="16">
        <v>1829344</v>
      </c>
      <c r="AU6" s="17">
        <v>68.224171874999897</v>
      </c>
      <c r="AV6" s="17">
        <v>70.387903124999994</v>
      </c>
      <c r="AW6" s="17">
        <v>34.329484375</v>
      </c>
      <c r="AX6" s="17">
        <v>45.451096874999998</v>
      </c>
      <c r="AY6" s="17">
        <v>45.267834375</v>
      </c>
      <c r="AZ6" s="18">
        <v>115.226</v>
      </c>
      <c r="BA6" s="18">
        <v>90.91</v>
      </c>
      <c r="BB6" s="18">
        <v>808.90599999999995</v>
      </c>
      <c r="BC6" s="18">
        <v>9.9060000000000006</v>
      </c>
      <c r="BE6" s="43">
        <f t="shared" si="12"/>
        <v>1.0103497103242491</v>
      </c>
      <c r="BF6" s="19" t="e">
        <f t="shared" si="13"/>
        <v>#DIV/0!</v>
      </c>
      <c r="BG6" s="19">
        <f t="shared" si="14"/>
        <v>1.7889148850291914E-3</v>
      </c>
      <c r="BH6" s="19"/>
      <c r="BJ6" s="43"/>
      <c r="BK6" s="43"/>
      <c r="BL6" s="43"/>
      <c r="BM6" s="43"/>
      <c r="BN6" s="43"/>
      <c r="BP6" s="43"/>
      <c r="BQ6" s="43"/>
      <c r="BR6" s="43"/>
      <c r="BS6" s="43"/>
      <c r="BT6" s="43"/>
      <c r="BV6" s="51">
        <f t="shared" si="15"/>
        <v>0.75137661396119593</v>
      </c>
      <c r="BW6" s="51">
        <f t="shared" si="15"/>
        <v>0.77855509084575825</v>
      </c>
      <c r="BX6" s="51">
        <f t="shared" si="15"/>
        <v>0.45275043467083415</v>
      </c>
      <c r="BY6" s="51">
        <f t="shared" ref="BY6:BY39" si="16">AVERAGE(BV6:BW6)</f>
        <v>0.76496585240347703</v>
      </c>
      <c r="BZ6" s="55"/>
      <c r="CA6" s="51"/>
      <c r="CC6" s="57"/>
    </row>
    <row r="7" spans="1:84" outlineLevel="1" x14ac:dyDescent="0.15">
      <c r="A7" s="46"/>
      <c r="B7" s="46" t="s">
        <v>17</v>
      </c>
      <c r="C7" s="3" t="s">
        <v>146</v>
      </c>
      <c r="D7" s="46">
        <v>238146391</v>
      </c>
      <c r="E7" s="3">
        <v>10</v>
      </c>
      <c r="F7" s="3">
        <v>32</v>
      </c>
      <c r="G7" s="3">
        <v>30</v>
      </c>
      <c r="I7" s="4">
        <f t="shared" si="0"/>
        <v>5.5621875000000003</v>
      </c>
      <c r="J7" s="5">
        <f t="shared" si="1"/>
        <v>2.4913247583080108E-2</v>
      </c>
      <c r="K7" s="5">
        <f t="shared" si="2"/>
        <v>9.4649681254250044E-3</v>
      </c>
      <c r="L7" s="5">
        <f t="shared" si="3"/>
        <v>6.8207794087461106E-3</v>
      </c>
      <c r="M7" s="5">
        <f t="shared" si="4"/>
        <v>1.5448279457655102E-2</v>
      </c>
      <c r="N7" s="46">
        <f t="shared" si="5"/>
        <v>2254048</v>
      </c>
      <c r="O7" s="5">
        <v>-12</v>
      </c>
      <c r="P7" s="6">
        <v>24798303</v>
      </c>
      <c r="Q7" s="6">
        <v>774946.96875</v>
      </c>
      <c r="R7" s="6">
        <v>20946</v>
      </c>
      <c r="S7" s="7">
        <v>5933000</v>
      </c>
      <c r="T7" s="7">
        <v>1624344</v>
      </c>
      <c r="U7" s="7">
        <v>629704</v>
      </c>
      <c r="V7" s="7">
        <v>3678952</v>
      </c>
      <c r="W7" s="8">
        <v>69.679040624999999</v>
      </c>
      <c r="X7" s="8">
        <v>72.1286249999999</v>
      </c>
      <c r="Y7" s="8">
        <v>36.89405</v>
      </c>
      <c r="Z7" s="8">
        <v>46.603406249999999</v>
      </c>
      <c r="AA7" s="8">
        <v>46.480725</v>
      </c>
      <c r="AB7" s="9">
        <v>494.35500000000002</v>
      </c>
      <c r="AC7" s="9">
        <v>423.44600000000003</v>
      </c>
      <c r="AD7" s="9">
        <v>1530.16</v>
      </c>
      <c r="AE7" s="9">
        <v>9.7650000000000006</v>
      </c>
      <c r="AG7" s="4">
        <f t="shared" si="6"/>
        <v>5.5872074999999999</v>
      </c>
      <c r="AH7" s="5">
        <f t="shared" si="7"/>
        <v>2.5025313106676474E-2</v>
      </c>
      <c r="AI7" s="5">
        <f t="shared" si="8"/>
        <v>9.5489164897737209E-3</v>
      </c>
      <c r="AJ7" s="5">
        <f t="shared" si="9"/>
        <v>6.9047277730948271E-3</v>
      </c>
      <c r="AK7" s="5">
        <f t="shared" si="10"/>
        <v>1.5476396616902753E-2</v>
      </c>
      <c r="AL7" s="46">
        <f t="shared" si="11"/>
        <v>2274040</v>
      </c>
      <c r="AM7" s="5">
        <v>-12</v>
      </c>
      <c r="AN7" s="6"/>
      <c r="AO7" s="6"/>
      <c r="AP7" s="6"/>
      <c r="AQ7" s="7">
        <v>5959688</v>
      </c>
      <c r="AR7" s="7">
        <v>1644336</v>
      </c>
      <c r="AS7" s="7">
        <v>629704</v>
      </c>
      <c r="AT7" s="7">
        <v>3685648</v>
      </c>
      <c r="AU7" s="8">
        <v>69.665843749999993</v>
      </c>
      <c r="AV7" s="8">
        <v>72.092231249999898</v>
      </c>
      <c r="AW7" s="8">
        <v>36.867403125000003</v>
      </c>
      <c r="AX7" s="8">
        <v>46.612949999999898</v>
      </c>
      <c r="AY7" s="8">
        <v>46.493540624999902</v>
      </c>
      <c r="AZ7" s="9">
        <v>135.143</v>
      </c>
      <c r="BA7" s="9">
        <v>116.55</v>
      </c>
      <c r="BB7" s="9">
        <v>855.54600000000005</v>
      </c>
      <c r="BC7" s="9">
        <v>9.7959999999999994</v>
      </c>
      <c r="BE7" s="44">
        <f t="shared" si="12"/>
        <v>1.0088693763398118</v>
      </c>
      <c r="BF7" s="10" t="e">
        <f t="shared" si="13"/>
        <v>#DIV/0!</v>
      </c>
      <c r="BG7" s="10">
        <f t="shared" si="14"/>
        <v>1.6532363991667021E-3</v>
      </c>
      <c r="BH7" s="10"/>
      <c r="BJ7" s="44"/>
      <c r="BK7" s="44"/>
      <c r="BL7" s="44"/>
      <c r="BM7" s="44"/>
      <c r="BN7" s="44"/>
      <c r="BP7" s="44"/>
      <c r="BQ7" s="44"/>
      <c r="BR7" s="44"/>
      <c r="BS7" s="44"/>
      <c r="BT7" s="44"/>
      <c r="BV7" s="51">
        <f t="shared" si="15"/>
        <v>0.72662762589636998</v>
      </c>
      <c r="BW7" s="51">
        <f t="shared" si="15"/>
        <v>0.72475829267486291</v>
      </c>
      <c r="BX7" s="51">
        <f t="shared" si="15"/>
        <v>0.44087807810947877</v>
      </c>
      <c r="BY7" s="51">
        <f t="shared" si="16"/>
        <v>0.7256929592856165</v>
      </c>
      <c r="BZ7" s="55"/>
      <c r="CA7" s="51"/>
      <c r="CC7" s="57"/>
    </row>
    <row r="8" spans="1:84" outlineLevel="1" x14ac:dyDescent="0.15">
      <c r="A8" s="11"/>
      <c r="B8" s="11" t="s">
        <v>17</v>
      </c>
      <c r="C8" s="12" t="s">
        <v>147</v>
      </c>
      <c r="D8" s="11">
        <v>238146391</v>
      </c>
      <c r="E8" s="12">
        <v>10</v>
      </c>
      <c r="F8" s="12">
        <v>32</v>
      </c>
      <c r="G8" s="12">
        <v>30</v>
      </c>
      <c r="I8" s="13">
        <f t="shared" si="0"/>
        <v>9.4267649999999996</v>
      </c>
      <c r="J8" s="14">
        <f t="shared" si="1"/>
        <v>4.2222835953033611E-2</v>
      </c>
      <c r="K8" s="14">
        <f t="shared" si="2"/>
        <v>1.2729682726957639E-2</v>
      </c>
      <c r="L8" s="14">
        <f t="shared" si="3"/>
        <v>1.0085494010278745E-2</v>
      </c>
      <c r="M8" s="14">
        <f t="shared" si="4"/>
        <v>2.9493153226075972E-2</v>
      </c>
      <c r="N8" s="11">
        <f t="shared" si="5"/>
        <v>3031528</v>
      </c>
      <c r="O8" s="14">
        <v>-12</v>
      </c>
      <c r="P8" s="15">
        <v>25806958</v>
      </c>
      <c r="Q8" s="15">
        <v>806467.4375</v>
      </c>
      <c r="R8" s="15">
        <v>24305.84375</v>
      </c>
      <c r="S8" s="16">
        <v>10055216</v>
      </c>
      <c r="T8" s="16">
        <v>2401824</v>
      </c>
      <c r="U8" s="16">
        <v>629704</v>
      </c>
      <c r="V8" s="16">
        <v>7023688</v>
      </c>
      <c r="W8" s="17">
        <v>70.829490625000005</v>
      </c>
      <c r="X8" s="17">
        <v>73.399412499999997</v>
      </c>
      <c r="Y8" s="17">
        <v>39.521596875</v>
      </c>
      <c r="Z8" s="17">
        <v>47.923753124999998</v>
      </c>
      <c r="AA8" s="17">
        <v>47.9429374999999</v>
      </c>
      <c r="AB8" s="18">
        <v>535.47900000000004</v>
      </c>
      <c r="AC8" s="18">
        <v>446.67</v>
      </c>
      <c r="AD8" s="18">
        <v>1586.61</v>
      </c>
      <c r="AE8" s="18">
        <v>9.875</v>
      </c>
      <c r="AG8" s="13">
        <f t="shared" si="6"/>
        <v>9.4866600000000005</v>
      </c>
      <c r="AH8" s="14">
        <f t="shared" si="7"/>
        <v>4.2491107916894699E-2</v>
      </c>
      <c r="AI8" s="14">
        <f t="shared" si="8"/>
        <v>1.2984080871500589E-2</v>
      </c>
      <c r="AJ8" s="14">
        <f t="shared" si="9"/>
        <v>1.0339892154821695E-2</v>
      </c>
      <c r="AK8" s="14">
        <f t="shared" si="10"/>
        <v>2.9507027045394107E-2</v>
      </c>
      <c r="AL8" s="11">
        <f t="shared" si="11"/>
        <v>3092112</v>
      </c>
      <c r="AM8" s="14">
        <v>-12</v>
      </c>
      <c r="AN8" s="15"/>
      <c r="AO8" s="15"/>
      <c r="AP8" s="15"/>
      <c r="AQ8" s="16">
        <v>10119104</v>
      </c>
      <c r="AR8" s="16">
        <v>2462408</v>
      </c>
      <c r="AS8" s="16">
        <v>629704</v>
      </c>
      <c r="AT8" s="16">
        <v>7026992</v>
      </c>
      <c r="AU8" s="17">
        <v>70.820274999999995</v>
      </c>
      <c r="AV8" s="17">
        <v>73.388206249999996</v>
      </c>
      <c r="AW8" s="17">
        <v>39.471103124999999</v>
      </c>
      <c r="AX8" s="17">
        <v>47.963362500000002</v>
      </c>
      <c r="AY8" s="17">
        <v>47.995343750000004</v>
      </c>
      <c r="AZ8" s="18">
        <v>197.98</v>
      </c>
      <c r="BA8" s="18">
        <v>139.33099999999999</v>
      </c>
      <c r="BB8" s="18">
        <v>945.14</v>
      </c>
      <c r="BC8" s="18">
        <v>9.875</v>
      </c>
      <c r="BE8" s="43">
        <f t="shared" si="12"/>
        <v>1.0199846414085569</v>
      </c>
      <c r="BF8" s="19" t="e">
        <f t="shared" si="13"/>
        <v>#DIV/0!</v>
      </c>
      <c r="BG8" s="19">
        <f t="shared" si="14"/>
        <v>4.0836153138736897E-3</v>
      </c>
      <c r="BH8" s="19"/>
      <c r="BJ8" s="43"/>
      <c r="BK8" s="43"/>
      <c r="BL8" s="43"/>
      <c r="BM8" s="43"/>
      <c r="BN8" s="43"/>
      <c r="BP8" s="43"/>
      <c r="BQ8" s="43"/>
      <c r="BR8" s="43"/>
      <c r="BS8" s="43"/>
      <c r="BT8" s="43"/>
      <c r="BV8" s="51">
        <f t="shared" si="15"/>
        <v>0.63027495009141343</v>
      </c>
      <c r="BW8" s="51">
        <f t="shared" si="15"/>
        <v>0.68806725322945361</v>
      </c>
      <c r="BX8" s="51">
        <f t="shared" si="15"/>
        <v>0.40430225449228224</v>
      </c>
      <c r="BY8" s="51">
        <f t="shared" si="16"/>
        <v>0.65917110166043358</v>
      </c>
      <c r="BZ8" s="55"/>
      <c r="CA8" s="51"/>
      <c r="CC8" s="57"/>
    </row>
    <row r="9" spans="1:84" ht="14.25" outlineLevel="1" thickBot="1" x14ac:dyDescent="0.2">
      <c r="A9" s="46"/>
      <c r="B9" s="20" t="s">
        <v>17</v>
      </c>
      <c r="C9" s="21" t="s">
        <v>148</v>
      </c>
      <c r="D9" s="20">
        <v>238146391</v>
      </c>
      <c r="E9" s="21">
        <v>10</v>
      </c>
      <c r="F9" s="21">
        <v>32</v>
      </c>
      <c r="G9" s="21">
        <v>30</v>
      </c>
      <c r="I9" s="22">
        <f t="shared" si="0"/>
        <v>16.8055275</v>
      </c>
      <c r="J9" s="23">
        <f t="shared" si="1"/>
        <v>7.5272591470848707E-2</v>
      </c>
      <c r="K9" s="23">
        <f t="shared" si="2"/>
        <v>2.0658352114183414E-2</v>
      </c>
      <c r="L9" s="23">
        <f t="shared" si="3"/>
        <v>1.5548050022727408E-2</v>
      </c>
      <c r="M9" s="23">
        <f t="shared" si="4"/>
        <v>5.461423935666529E-2</v>
      </c>
      <c r="N9" s="20">
        <f t="shared" si="5"/>
        <v>4919712</v>
      </c>
      <c r="O9" s="23">
        <v>-12</v>
      </c>
      <c r="P9" s="24">
        <v>24863702</v>
      </c>
      <c r="Q9" s="24">
        <v>776990.6875</v>
      </c>
      <c r="R9" s="24">
        <v>10657.0625</v>
      </c>
      <c r="S9" s="25">
        <v>17925896</v>
      </c>
      <c r="T9" s="25">
        <v>3702712</v>
      </c>
      <c r="U9" s="25">
        <v>1217000</v>
      </c>
      <c r="V9" s="25">
        <v>13006184</v>
      </c>
      <c r="W9" s="26">
        <v>71.945081250000001</v>
      </c>
      <c r="X9" s="26">
        <v>75.324081250000006</v>
      </c>
      <c r="Y9" s="26">
        <v>42.094303124999897</v>
      </c>
      <c r="Z9" s="26">
        <v>49.4176312499999</v>
      </c>
      <c r="AA9" s="26">
        <v>49.554403125</v>
      </c>
      <c r="AB9" s="27">
        <v>570.01099999999997</v>
      </c>
      <c r="AC9" s="27">
        <v>493.15699999999998</v>
      </c>
      <c r="AD9" s="27">
        <v>1681.13</v>
      </c>
      <c r="AE9" s="27">
        <v>9.859</v>
      </c>
      <c r="AG9" s="22">
        <f t="shared" si="6"/>
        <v>16.831095000000001</v>
      </c>
      <c r="AH9" s="23">
        <f t="shared" si="7"/>
        <v>7.5387109267593316E-2</v>
      </c>
      <c r="AI9" s="23">
        <f t="shared" si="8"/>
        <v>2.0783115709698072E-2</v>
      </c>
      <c r="AJ9" s="23">
        <f t="shared" si="9"/>
        <v>1.5672813618242066E-2</v>
      </c>
      <c r="AK9" s="23">
        <f t="shared" si="10"/>
        <v>5.4603993557895233E-2</v>
      </c>
      <c r="AL9" s="20">
        <f t="shared" si="11"/>
        <v>4949424</v>
      </c>
      <c r="AM9" s="23">
        <v>-12</v>
      </c>
      <c r="AN9" s="24"/>
      <c r="AO9" s="24"/>
      <c r="AP9" s="24"/>
      <c r="AQ9" s="25">
        <v>17953168</v>
      </c>
      <c r="AR9" s="25">
        <v>3732424</v>
      </c>
      <c r="AS9" s="25">
        <v>1217000</v>
      </c>
      <c r="AT9" s="25">
        <v>13003744</v>
      </c>
      <c r="AU9" s="26">
        <v>71.931471875</v>
      </c>
      <c r="AV9" s="26">
        <v>75.299143749999899</v>
      </c>
      <c r="AW9" s="26">
        <v>42.032593749999997</v>
      </c>
      <c r="AX9" s="26">
        <v>49.452946874999903</v>
      </c>
      <c r="AY9" s="26">
        <v>49.579474999999903</v>
      </c>
      <c r="AZ9" s="27">
        <v>283.58600000000001</v>
      </c>
      <c r="BA9" s="27">
        <v>205.37</v>
      </c>
      <c r="BB9" s="27">
        <v>1109.6400000000001</v>
      </c>
      <c r="BC9" s="27">
        <v>9.843</v>
      </c>
      <c r="BE9" s="28">
        <f t="shared" si="12"/>
        <v>1.0060393779148047</v>
      </c>
      <c r="BF9" s="29" t="e">
        <f t="shared" si="13"/>
        <v>#DIV/0!</v>
      </c>
      <c r="BG9" s="29">
        <f t="shared" si="14"/>
        <v>1.2380698441568638E-3</v>
      </c>
      <c r="BH9" s="29"/>
      <c r="BJ9" s="28"/>
      <c r="BK9" s="28"/>
      <c r="BL9" s="28"/>
      <c r="BM9" s="28"/>
      <c r="BN9" s="28"/>
      <c r="BP9" s="28"/>
      <c r="BQ9" s="28"/>
      <c r="BR9" s="28"/>
      <c r="BS9" s="28"/>
      <c r="BT9" s="28"/>
      <c r="BV9" s="51">
        <f t="shared" si="15"/>
        <v>0.50249030281871754</v>
      </c>
      <c r="BW9" s="51">
        <f t="shared" si="15"/>
        <v>0.58356061051551533</v>
      </c>
      <c r="BX9" s="51">
        <f t="shared" si="15"/>
        <v>0.33994396626078888</v>
      </c>
      <c r="BY9" s="51">
        <f t="shared" si="16"/>
        <v>0.54302545666711644</v>
      </c>
      <c r="BZ9" s="55">
        <f>AVERAGE(BV5:BV9)</f>
        <v>0.67655607133404549</v>
      </c>
      <c r="CA9" s="51">
        <f>AVERAGE(BW5:BW9)</f>
        <v>0.71471661402271103</v>
      </c>
      <c r="CB9" s="51">
        <f>AVERAGE(BX5:BX9)</f>
        <v>0.41870473312526857</v>
      </c>
      <c r="CC9" s="58">
        <f>AVERAGE(BY5:BY9)</f>
        <v>0.69563634267837826</v>
      </c>
      <c r="CD9" s="51">
        <f>(SUM(AB5:AB9)-SUM(AZ5:AZ9))/SUM(AB5:AB9)</f>
        <v>0.66719929143672418</v>
      </c>
      <c r="CE9" s="51">
        <f>(SUM(AC5:AC9)-SUM(BA5:BA9))/SUM(AC5:AC9)</f>
        <v>0.7091091086494864</v>
      </c>
      <c r="CF9" s="51">
        <f>(SUM(AB5:AC9)-SUM(AZ5:BA9))/SUM(AB5:AC9)</f>
        <v>0.68673129947903566</v>
      </c>
    </row>
    <row r="10" spans="1:84" x14ac:dyDescent="0.15">
      <c r="A10" s="11"/>
      <c r="B10" s="11" t="s">
        <v>20</v>
      </c>
      <c r="C10" s="12" t="s">
        <v>144</v>
      </c>
      <c r="D10" s="11">
        <v>218121242</v>
      </c>
      <c r="E10" s="12">
        <v>10</v>
      </c>
      <c r="F10" s="12">
        <v>32</v>
      </c>
      <c r="G10" s="12">
        <v>30</v>
      </c>
      <c r="I10" s="13">
        <f t="shared" si="0"/>
        <v>3.1803675</v>
      </c>
      <c r="J10" s="14">
        <f t="shared" si="1"/>
        <v>1.555278142052758E-2</v>
      </c>
      <c r="K10" s="14">
        <f t="shared" si="2"/>
        <v>8.0389419385389349E-3</v>
      </c>
      <c r="L10" s="14">
        <f t="shared" si="3"/>
        <v>4.2751636266586089E-3</v>
      </c>
      <c r="M10" s="14">
        <f t="shared" si="4"/>
        <v>7.5138394819886456E-3</v>
      </c>
      <c r="N10" s="11">
        <f t="shared" si="5"/>
        <v>1753464</v>
      </c>
      <c r="O10" s="14">
        <v>-12</v>
      </c>
      <c r="P10" s="15">
        <v>20646708</v>
      </c>
      <c r="Q10" s="15">
        <v>645209.625</v>
      </c>
      <c r="R10" s="15">
        <v>18054.21875</v>
      </c>
      <c r="S10" s="16">
        <v>3392392</v>
      </c>
      <c r="T10" s="16">
        <v>932504</v>
      </c>
      <c r="U10" s="16">
        <v>820960</v>
      </c>
      <c r="V10" s="16">
        <v>1638928</v>
      </c>
      <c r="W10" s="17">
        <v>65.886574999999993</v>
      </c>
      <c r="X10" s="17">
        <v>67.829274999999996</v>
      </c>
      <c r="Y10" s="17">
        <v>32.394371874999898</v>
      </c>
      <c r="Z10" s="17">
        <v>39.164603124999999</v>
      </c>
      <c r="AA10" s="17">
        <v>32.094328124999997</v>
      </c>
      <c r="AB10" s="18">
        <v>466.02199999999999</v>
      </c>
      <c r="AC10" s="18">
        <v>427.16</v>
      </c>
      <c r="AD10" s="18">
        <v>1481.38</v>
      </c>
      <c r="AE10" s="18">
        <v>10.484</v>
      </c>
      <c r="AG10" s="13">
        <f t="shared" si="6"/>
        <v>3.1844925000000002</v>
      </c>
      <c r="AH10" s="14">
        <f t="shared" si="7"/>
        <v>1.5572953687839354E-2</v>
      </c>
      <c r="AI10" s="14">
        <f t="shared" si="8"/>
        <v>8.0917932788957796E-3</v>
      </c>
      <c r="AJ10" s="14">
        <f t="shared" si="9"/>
        <v>4.3280149670154545E-3</v>
      </c>
      <c r="AK10" s="14">
        <f t="shared" si="10"/>
        <v>7.4811604089435732E-3</v>
      </c>
      <c r="AL10" s="11">
        <f t="shared" si="11"/>
        <v>1764992</v>
      </c>
      <c r="AM10" s="14">
        <v>-12</v>
      </c>
      <c r="AN10" s="15"/>
      <c r="AO10" s="15"/>
      <c r="AP10" s="15"/>
      <c r="AQ10" s="16">
        <v>3396792</v>
      </c>
      <c r="AR10" s="16">
        <v>944032</v>
      </c>
      <c r="AS10" s="16">
        <v>820960</v>
      </c>
      <c r="AT10" s="16">
        <v>1631800</v>
      </c>
      <c r="AU10" s="17">
        <v>65.878728124999995</v>
      </c>
      <c r="AV10" s="17">
        <v>67.767471874999899</v>
      </c>
      <c r="AW10" s="17">
        <v>32.3431843749999</v>
      </c>
      <c r="AX10" s="17">
        <v>39.166575000000002</v>
      </c>
      <c r="AY10" s="17">
        <v>32.012759374999902</v>
      </c>
      <c r="AZ10" s="18">
        <v>115.839</v>
      </c>
      <c r="BA10" s="18">
        <v>85.495000000000005</v>
      </c>
      <c r="BB10" s="18">
        <v>787.53099999999995</v>
      </c>
      <c r="BC10" s="18">
        <v>10.281000000000001</v>
      </c>
      <c r="BE10" s="43">
        <f t="shared" si="12"/>
        <v>1.0065744149865636</v>
      </c>
      <c r="BF10" s="19" t="e">
        <f t="shared" si="13"/>
        <v>#DIV/0!</v>
      </c>
      <c r="BG10" s="19">
        <f t="shared" si="14"/>
        <v>2.7242534318348E-3</v>
      </c>
      <c r="BH10" s="19">
        <f t="array" ref="BH10">AVERAGE(AL10:AL14/AQ10:AQ14) - AVERAGE(N10:N14/S10:S14)</f>
        <v>2.5890505831733801E-3</v>
      </c>
      <c r="BJ10" s="43">
        <f>IF( OR(ISBLANK(N10:N14),ISBLANK(AL10:AL14), ISBLANK(W10:W14),ISBLANK(AU10:AU14)), "·", bdRateExtend( N10:N14,W10:W14, AL10:AL14,AU10:AU14))</f>
        <v>1.3014291243386822E-2</v>
      </c>
      <c r="BK10" s="43">
        <f>IF( OR(ISBLANK(N10:N14),ISBLANK(AL10:AL14), ISBLANK(X10:X14),ISBLANK(AV10:AV14)), "·", bdRateExtend( N10:N14,X10:X14, AL10:AL14,AV10:AV14))</f>
        <v>1.7930705417727122E-2</v>
      </c>
      <c r="BL10" s="43">
        <f>IF( OR(ISBLANK(V10:V14),ISBLANK(AT10:AT14), ISBLANK(Y10:Y14),ISBLANK(AW10:AW14)), "·", bdRateExtend( V10:V14,Y10:Y14, AT10:AT14,AW10:AW14))</f>
        <v>1.3897268125525386E-2</v>
      </c>
      <c r="BM10" s="43">
        <f>IF( OR(ISBLANK(V10:V14),ISBLANK(AT10:AT14), ISBLANK(Z10:Z14),ISBLANK(AX10:AX14)), "·", bdRateExtend( V10:V14,Z10:Z14, AT10:AT14,AX10:AX14))</f>
        <v>-7.9468835111160541E-3</v>
      </c>
      <c r="BN10" s="43">
        <f>IF( OR(ISBLANK(V10:V14),ISBLANK(AT10:AT14), ISBLANK(AA10:AA14),ISBLANK(AY10:AY14)), "·", bdRateExtend( V10:V14,AA10:AA14, AT10:AT14,AY10:AY14))</f>
        <v>2.109419276400204E-2</v>
      </c>
      <c r="BP10" s="43">
        <f>IF( OR(ISBLANK(S10:S14),ISBLANK(AQ10:AQ14), ISBLANK(W10:W14),ISBLANK(AU10:AU14)), "·", bdRateExtend( S10:S14,W10:W14, AQ10:AQ14,AU10:AU14))</f>
        <v>7.3044156969248597E-3</v>
      </c>
      <c r="BQ10" s="43">
        <f>IF( OR(ISBLANK(S10:S14),ISBLANK(AQ10:AQ14), ISBLANK(X10:X14),ISBLANK(AV10:AV14)), "·", bdRateExtend( S10:S14,X10:X14, AQ10:AQ14,AV10:AV14))</f>
        <v>1.6380159052509669E-2</v>
      </c>
      <c r="BR10" s="43">
        <f>IF( OR(ISBLANK(S10:S14),ISBLANK(AQ10:AQ14), ISBLANK(Y10:Y14),ISBLANK(AW10:AW14)), "·", bdRateExtend( S10:S14,Y10:Y14, AQ10:AQ14,AW10:AW14))</f>
        <v>1.544402786706045E-2</v>
      </c>
      <c r="BS10" s="43">
        <f>IF( OR(ISBLANK(S10:S14),ISBLANK(AQ10:AQ14), ISBLANK(Z10:Z14),ISBLANK(AX10:AX14)), "·", bdRateExtend( S10:S14,Z10:Z14, AQ10:AQ14,AX10:AX14))</f>
        <v>-2.072360867380163E-3</v>
      </c>
      <c r="BT10" s="43">
        <f>IF( OR(ISBLANK(S10:S14),ISBLANK(AQ10:AQ14), ISBLANK(AA10:AA14),ISBLANK(AY10:AY14)), "·", bdRateExtend( S10:S14,AA10:AA14, AQ10:AQ14,AY10:AY14))</f>
        <v>2.0908760292864148E-2</v>
      </c>
      <c r="BV10" s="51">
        <f t="shared" si="15"/>
        <v>0.75143018999103051</v>
      </c>
      <c r="BW10" s="51">
        <f t="shared" si="15"/>
        <v>0.7998525142803633</v>
      </c>
      <c r="BX10" s="51">
        <f t="shared" si="15"/>
        <v>0.46838015904089436</v>
      </c>
      <c r="BY10" s="51">
        <f t="shared" si="16"/>
        <v>0.77564135213569685</v>
      </c>
      <c r="BZ10" s="55"/>
      <c r="CA10" s="51"/>
      <c r="CC10" s="57"/>
    </row>
    <row r="11" spans="1:84" outlineLevel="1" x14ac:dyDescent="0.15">
      <c r="A11" s="46"/>
      <c r="B11" s="46" t="s">
        <v>20</v>
      </c>
      <c r="C11" s="3" t="s">
        <v>145</v>
      </c>
      <c r="D11" s="46">
        <v>218121242</v>
      </c>
      <c r="E11" s="3">
        <v>10</v>
      </c>
      <c r="F11" s="3">
        <v>32</v>
      </c>
      <c r="G11" s="3">
        <v>30</v>
      </c>
      <c r="I11" s="4">
        <f t="shared" si="0"/>
        <v>4.5974775000000001</v>
      </c>
      <c r="J11" s="5">
        <f t="shared" si="1"/>
        <v>2.2482798809663848E-2</v>
      </c>
      <c r="K11" s="5">
        <f t="shared" si="2"/>
        <v>9.7882442829662596E-3</v>
      </c>
      <c r="L11" s="5">
        <f t="shared" si="3"/>
        <v>6.0244659710859336E-3</v>
      </c>
      <c r="M11" s="5">
        <f t="shared" si="4"/>
        <v>1.2694554526697589E-2</v>
      </c>
      <c r="N11" s="46">
        <f t="shared" si="5"/>
        <v>2135024</v>
      </c>
      <c r="O11" s="5">
        <v>-12</v>
      </c>
      <c r="P11" s="6">
        <v>22133832</v>
      </c>
      <c r="Q11" s="6">
        <v>691682.25</v>
      </c>
      <c r="R11" s="6">
        <v>23047.09375</v>
      </c>
      <c r="S11" s="7">
        <v>4903976</v>
      </c>
      <c r="T11" s="7">
        <v>1314064</v>
      </c>
      <c r="U11" s="7">
        <v>820960</v>
      </c>
      <c r="V11" s="7">
        <v>2768952</v>
      </c>
      <c r="W11" s="8">
        <v>67.609459374999901</v>
      </c>
      <c r="X11" s="8">
        <v>69.693121874999903</v>
      </c>
      <c r="Y11" s="8">
        <v>34.251906249999998</v>
      </c>
      <c r="Z11" s="8">
        <v>40.012206249999899</v>
      </c>
      <c r="AA11" s="8">
        <v>33.863571874999998</v>
      </c>
      <c r="AB11" s="9">
        <v>490.67200000000003</v>
      </c>
      <c r="AC11" s="9">
        <v>439.33600000000001</v>
      </c>
      <c r="AD11" s="9">
        <v>1520.53</v>
      </c>
      <c r="AE11" s="9">
        <v>10.484</v>
      </c>
      <c r="AG11" s="4">
        <f t="shared" si="6"/>
        <v>4.6040925000000001</v>
      </c>
      <c r="AH11" s="5">
        <f t="shared" si="7"/>
        <v>2.2515147791062E-2</v>
      </c>
      <c r="AI11" s="5">
        <f t="shared" si="8"/>
        <v>9.8702170419513752E-3</v>
      </c>
      <c r="AJ11" s="5">
        <f t="shared" si="9"/>
        <v>6.1064387300710492E-3</v>
      </c>
      <c r="AK11" s="5">
        <f t="shared" si="10"/>
        <v>1.2644930749110625E-2</v>
      </c>
      <c r="AL11" s="46">
        <f t="shared" si="11"/>
        <v>2152904</v>
      </c>
      <c r="AM11" s="5">
        <v>-12</v>
      </c>
      <c r="AN11" s="6"/>
      <c r="AO11" s="6"/>
      <c r="AP11" s="6"/>
      <c r="AQ11" s="7">
        <v>4911032</v>
      </c>
      <c r="AR11" s="7">
        <v>1331944</v>
      </c>
      <c r="AS11" s="7">
        <v>820960</v>
      </c>
      <c r="AT11" s="7">
        <v>2758128</v>
      </c>
      <c r="AU11" s="8">
        <v>67.581859374999993</v>
      </c>
      <c r="AV11" s="8">
        <v>69.608525</v>
      </c>
      <c r="AW11" s="8">
        <v>34.163078124999899</v>
      </c>
      <c r="AX11" s="8">
        <v>40.038715624999902</v>
      </c>
      <c r="AY11" s="8">
        <v>33.750609374999897</v>
      </c>
      <c r="AZ11" s="9">
        <v>141.255</v>
      </c>
      <c r="BA11" s="9">
        <v>96.173000000000002</v>
      </c>
      <c r="BB11" s="9">
        <v>824.06200000000001</v>
      </c>
      <c r="BC11" s="9">
        <v>10.186999999999999</v>
      </c>
      <c r="BE11" s="44">
        <f t="shared" si="12"/>
        <v>1.0083746131191031</v>
      </c>
      <c r="BF11" s="10" t="e">
        <f t="shared" si="13"/>
        <v>#DIV/0!</v>
      </c>
      <c r="BG11" s="10">
        <f t="shared" si="14"/>
        <v>3.0152640221904892E-3</v>
      </c>
      <c r="BH11" s="10"/>
      <c r="BJ11" s="44"/>
      <c r="BK11" s="44"/>
      <c r="BL11" s="44"/>
      <c r="BM11" s="44"/>
      <c r="BN11" s="44"/>
      <c r="BP11" s="44"/>
      <c r="BQ11" s="44"/>
      <c r="BR11" s="44"/>
      <c r="BS11" s="44"/>
      <c r="BT11" s="44"/>
      <c r="BV11" s="51">
        <f t="shared" si="15"/>
        <v>0.7121192976163303</v>
      </c>
      <c r="BW11" s="51">
        <f t="shared" si="15"/>
        <v>0.78109465192927507</v>
      </c>
      <c r="BX11" s="51">
        <f t="shared" si="15"/>
        <v>0.45804291924526314</v>
      </c>
      <c r="BY11" s="51">
        <f t="shared" si="16"/>
        <v>0.74660697477280269</v>
      </c>
      <c r="BZ11" s="55"/>
      <c r="CA11" s="51"/>
      <c r="CC11" s="57"/>
    </row>
    <row r="12" spans="1:84" outlineLevel="1" x14ac:dyDescent="0.15">
      <c r="A12" s="11"/>
      <c r="B12" s="11" t="s">
        <v>20</v>
      </c>
      <c r="C12" s="12" t="s">
        <v>146</v>
      </c>
      <c r="D12" s="11">
        <v>218121242</v>
      </c>
      <c r="E12" s="12">
        <v>10</v>
      </c>
      <c r="F12" s="12">
        <v>32</v>
      </c>
      <c r="G12" s="12">
        <v>30</v>
      </c>
      <c r="I12" s="13">
        <f t="shared" si="0"/>
        <v>7.1139150000000004</v>
      </c>
      <c r="J12" s="14">
        <f t="shared" si="1"/>
        <v>3.4788798791087025E-2</v>
      </c>
      <c r="K12" s="14">
        <f t="shared" si="2"/>
        <v>1.2487220295582215E-2</v>
      </c>
      <c r="L12" s="14">
        <f t="shared" si="3"/>
        <v>8.7234419837018892E-3</v>
      </c>
      <c r="M12" s="14">
        <f t="shared" si="4"/>
        <v>2.2301578495504806E-2</v>
      </c>
      <c r="N12" s="11">
        <f t="shared" si="5"/>
        <v>2723728</v>
      </c>
      <c r="O12" s="14">
        <v>-12</v>
      </c>
      <c r="P12" s="15">
        <v>22504730</v>
      </c>
      <c r="Q12" s="15">
        <v>703272.8125</v>
      </c>
      <c r="R12" s="15">
        <v>24737.1875</v>
      </c>
      <c r="S12" s="16">
        <v>7588176</v>
      </c>
      <c r="T12" s="16">
        <v>1902768</v>
      </c>
      <c r="U12" s="16">
        <v>820960</v>
      </c>
      <c r="V12" s="16">
        <v>4864448</v>
      </c>
      <c r="W12" s="17">
        <v>68.953246874999905</v>
      </c>
      <c r="X12" s="17">
        <v>71.331493749999893</v>
      </c>
      <c r="Y12" s="17">
        <v>36.335381249999998</v>
      </c>
      <c r="Z12" s="17">
        <v>40.939156249999897</v>
      </c>
      <c r="AA12" s="17">
        <v>35.640265624999898</v>
      </c>
      <c r="AB12" s="18">
        <v>517.66099999999994</v>
      </c>
      <c r="AC12" s="18">
        <v>451.67700000000002</v>
      </c>
      <c r="AD12" s="18">
        <v>1558.5</v>
      </c>
      <c r="AE12" s="18">
        <v>10.39</v>
      </c>
      <c r="AG12" s="13">
        <f t="shared" si="6"/>
        <v>7.1408174999999998</v>
      </c>
      <c r="AH12" s="14">
        <f t="shared" si="7"/>
        <v>3.492035865080944E-2</v>
      </c>
      <c r="AI12" s="14">
        <f t="shared" si="8"/>
        <v>1.2670237775374486E-2</v>
      </c>
      <c r="AJ12" s="14">
        <f t="shared" si="9"/>
        <v>8.90645946349416E-3</v>
      </c>
      <c r="AK12" s="14">
        <f t="shared" si="10"/>
        <v>2.2250120875434955E-2</v>
      </c>
      <c r="AL12" s="11">
        <f t="shared" si="11"/>
        <v>2763648</v>
      </c>
      <c r="AM12" s="14">
        <v>-12</v>
      </c>
      <c r="AN12" s="15"/>
      <c r="AO12" s="15"/>
      <c r="AP12" s="15"/>
      <c r="AQ12" s="16">
        <v>7616872</v>
      </c>
      <c r="AR12" s="16">
        <v>1942688</v>
      </c>
      <c r="AS12" s="16">
        <v>820960</v>
      </c>
      <c r="AT12" s="16">
        <v>4853224</v>
      </c>
      <c r="AU12" s="17">
        <v>68.945934374999993</v>
      </c>
      <c r="AV12" s="17">
        <v>71.235487499999905</v>
      </c>
      <c r="AW12" s="17">
        <v>36.300362499999999</v>
      </c>
      <c r="AX12" s="17">
        <v>40.9545999999999</v>
      </c>
      <c r="AY12" s="17">
        <v>35.568871874999999</v>
      </c>
      <c r="AZ12" s="18">
        <v>160.923</v>
      </c>
      <c r="BA12" s="18">
        <v>125.75</v>
      </c>
      <c r="BB12" s="18">
        <v>876.42100000000005</v>
      </c>
      <c r="BC12" s="18">
        <v>10.295999999999999</v>
      </c>
      <c r="BE12" s="43">
        <f t="shared" si="12"/>
        <v>1.0146563827225039</v>
      </c>
      <c r="BF12" s="19" t="e">
        <f t="shared" si="13"/>
        <v>#DIV/0!</v>
      </c>
      <c r="BG12" s="19">
        <f t="shared" si="14"/>
        <v>3.8887027995457846E-3</v>
      </c>
      <c r="BH12" s="19"/>
      <c r="BJ12" s="43"/>
      <c r="BK12" s="43"/>
      <c r="BL12" s="43"/>
      <c r="BM12" s="43"/>
      <c r="BN12" s="43"/>
      <c r="BP12" s="43"/>
      <c r="BQ12" s="43"/>
      <c r="BR12" s="43"/>
      <c r="BS12" s="43"/>
      <c r="BT12" s="43"/>
      <c r="BV12" s="51">
        <f t="shared" si="15"/>
        <v>0.68913439490322814</v>
      </c>
      <c r="BW12" s="51">
        <f t="shared" si="15"/>
        <v>0.72159308532424715</v>
      </c>
      <c r="BX12" s="51">
        <f t="shared" si="15"/>
        <v>0.43765094642284247</v>
      </c>
      <c r="BY12" s="51">
        <f t="shared" si="16"/>
        <v>0.70536374011373759</v>
      </c>
      <c r="BZ12" s="55"/>
      <c r="CA12" s="51"/>
      <c r="CC12" s="57"/>
    </row>
    <row r="13" spans="1:84" outlineLevel="1" x14ac:dyDescent="0.15">
      <c r="A13" s="46"/>
      <c r="B13" s="46" t="s">
        <v>20</v>
      </c>
      <c r="C13" s="3" t="s">
        <v>147</v>
      </c>
      <c r="D13" s="46">
        <v>218121242</v>
      </c>
      <c r="E13" s="3">
        <v>10</v>
      </c>
      <c r="F13" s="3">
        <v>32</v>
      </c>
      <c r="G13" s="3">
        <v>30</v>
      </c>
      <c r="I13" s="4">
        <f t="shared" si="0"/>
        <v>12.0106275</v>
      </c>
      <c r="J13" s="5">
        <f t="shared" si="1"/>
        <v>5.8734930548396569E-2</v>
      </c>
      <c r="K13" s="5">
        <f t="shared" si="2"/>
        <v>1.7163445273248534E-2</v>
      </c>
      <c r="L13" s="5">
        <f t="shared" si="3"/>
        <v>1.339966696136821E-2</v>
      </c>
      <c r="M13" s="5">
        <f t="shared" si="4"/>
        <v>4.1571485275148028E-2</v>
      </c>
      <c r="N13" s="46">
        <f t="shared" si="5"/>
        <v>3743712</v>
      </c>
      <c r="O13" s="5">
        <v>-12</v>
      </c>
      <c r="P13" s="6">
        <v>23275134</v>
      </c>
      <c r="Q13" s="6">
        <v>727347.9375</v>
      </c>
      <c r="R13" s="6">
        <v>27993.34375</v>
      </c>
      <c r="S13" s="7">
        <v>12811336</v>
      </c>
      <c r="T13" s="7">
        <v>2922752</v>
      </c>
      <c r="U13" s="7">
        <v>820960</v>
      </c>
      <c r="V13" s="7">
        <v>9067624</v>
      </c>
      <c r="W13" s="8">
        <v>70.078087499999896</v>
      </c>
      <c r="X13" s="8">
        <v>72.601274999999902</v>
      </c>
      <c r="Y13" s="8">
        <v>38.662809375000002</v>
      </c>
      <c r="Z13" s="8">
        <v>42.1082156249999</v>
      </c>
      <c r="AA13" s="8">
        <v>37.696206249999904</v>
      </c>
      <c r="AB13" s="9">
        <v>557.47799999999995</v>
      </c>
      <c r="AC13" s="9">
        <v>480.03199999999998</v>
      </c>
      <c r="AD13" s="9">
        <v>1627</v>
      </c>
      <c r="AE13" s="9">
        <v>10.25</v>
      </c>
      <c r="AG13" s="4">
        <f t="shared" si="6"/>
        <v>12.025634999999999</v>
      </c>
      <c r="AH13" s="5">
        <f t="shared" si="7"/>
        <v>5.8808320924561765E-2</v>
      </c>
      <c r="AI13" s="5">
        <f t="shared" si="8"/>
        <v>1.7339054029409936E-2</v>
      </c>
      <c r="AJ13" s="5">
        <f t="shared" si="9"/>
        <v>1.3575275717529612E-2</v>
      </c>
      <c r="AK13" s="5">
        <f t="shared" si="10"/>
        <v>4.1469266895151825E-2</v>
      </c>
      <c r="AL13" s="46">
        <f t="shared" si="11"/>
        <v>3782016</v>
      </c>
      <c r="AM13" s="5">
        <v>-12</v>
      </c>
      <c r="AN13" s="6"/>
      <c r="AO13" s="6"/>
      <c r="AP13" s="6"/>
      <c r="AQ13" s="7">
        <v>12827344</v>
      </c>
      <c r="AR13" s="7">
        <v>2961056</v>
      </c>
      <c r="AS13" s="7">
        <v>820960</v>
      </c>
      <c r="AT13" s="7">
        <v>9045328</v>
      </c>
      <c r="AU13" s="8">
        <v>70.065374999999904</v>
      </c>
      <c r="AV13" s="8">
        <v>72.585540624999993</v>
      </c>
      <c r="AW13" s="8">
        <v>38.604362500000001</v>
      </c>
      <c r="AX13" s="8">
        <v>42.109278125000003</v>
      </c>
      <c r="AY13" s="8">
        <v>37.638762499999899</v>
      </c>
      <c r="AZ13" s="9">
        <v>217.41300000000001</v>
      </c>
      <c r="BA13" s="9">
        <v>163.23699999999999</v>
      </c>
      <c r="BB13" s="9">
        <v>972.625</v>
      </c>
      <c r="BC13" s="9">
        <v>10.5</v>
      </c>
      <c r="BE13" s="44">
        <f t="shared" si="12"/>
        <v>1.0102315562735595</v>
      </c>
      <c r="BF13" s="10" t="e">
        <f t="shared" si="13"/>
        <v>#DIV/0!</v>
      </c>
      <c r="BG13" s="10">
        <f t="shared" si="14"/>
        <v>2.6214439239644616E-3</v>
      </c>
      <c r="BH13" s="10"/>
      <c r="BJ13" s="44"/>
      <c r="BK13" s="44"/>
      <c r="BL13" s="44"/>
      <c r="BM13" s="44"/>
      <c r="BN13" s="44"/>
      <c r="BP13" s="44"/>
      <c r="BQ13" s="44"/>
      <c r="BR13" s="44"/>
      <c r="BS13" s="44"/>
      <c r="BT13" s="44"/>
      <c r="BV13" s="51">
        <f t="shared" si="15"/>
        <v>0.61000613477123755</v>
      </c>
      <c r="BW13" s="51">
        <f t="shared" si="15"/>
        <v>0.65994558696086925</v>
      </c>
      <c r="BX13" s="51">
        <f t="shared" si="15"/>
        <v>0.40219729563614015</v>
      </c>
      <c r="BY13" s="51">
        <f t="shared" si="16"/>
        <v>0.6349758608660534</v>
      </c>
      <c r="BZ13" s="55"/>
      <c r="CA13" s="51"/>
      <c r="CC13" s="57"/>
    </row>
    <row r="14" spans="1:84" ht="14.25" outlineLevel="1" thickBot="1" x14ac:dyDescent="0.2">
      <c r="A14" s="11"/>
      <c r="B14" s="30" t="s">
        <v>20</v>
      </c>
      <c r="C14" s="31" t="s">
        <v>148</v>
      </c>
      <c r="D14" s="30">
        <v>218121242</v>
      </c>
      <c r="E14" s="31">
        <v>10</v>
      </c>
      <c r="F14" s="31">
        <v>32</v>
      </c>
      <c r="G14" s="31">
        <v>30</v>
      </c>
      <c r="I14" s="32">
        <f t="shared" si="0"/>
        <v>21.562027499999999</v>
      </c>
      <c r="J14" s="33">
        <f t="shared" si="1"/>
        <v>0.10544363212455943</v>
      </c>
      <c r="K14" s="33">
        <f t="shared" si="2"/>
        <v>2.8264354005466372E-2</v>
      </c>
      <c r="L14" s="33">
        <f t="shared" si="3"/>
        <v>2.1175159088815385E-2</v>
      </c>
      <c r="M14" s="33">
        <f t="shared" si="4"/>
        <v>7.7179278119093045E-2</v>
      </c>
      <c r="N14" s="30">
        <f t="shared" si="5"/>
        <v>6165056</v>
      </c>
      <c r="O14" s="33">
        <v>-12</v>
      </c>
      <c r="P14" s="34">
        <v>22108568</v>
      </c>
      <c r="Q14" s="34">
        <v>690892.75</v>
      </c>
      <c r="R14" s="34">
        <v>13255.34375</v>
      </c>
      <c r="S14" s="35">
        <v>22999496</v>
      </c>
      <c r="T14" s="35">
        <v>4618752</v>
      </c>
      <c r="U14" s="35">
        <v>1546304</v>
      </c>
      <c r="V14" s="35">
        <v>16834440</v>
      </c>
      <c r="W14" s="36">
        <v>70.921371874999906</v>
      </c>
      <c r="X14" s="36">
        <v>74.713256250000001</v>
      </c>
      <c r="Y14" s="36">
        <v>40.916131249999999</v>
      </c>
      <c r="Z14" s="36">
        <v>43.428543749999903</v>
      </c>
      <c r="AA14" s="36">
        <v>39.494587500000002</v>
      </c>
      <c r="AB14" s="37">
        <v>598.178</v>
      </c>
      <c r="AC14" s="37">
        <v>538.14099999999996</v>
      </c>
      <c r="AD14" s="37">
        <v>1743.52</v>
      </c>
      <c r="AE14" s="37">
        <v>10.375</v>
      </c>
      <c r="AG14" s="32">
        <f t="shared" si="6"/>
        <v>21.594322500000001</v>
      </c>
      <c r="AH14" s="33">
        <f t="shared" si="7"/>
        <v>0.10560156263918578</v>
      </c>
      <c r="AI14" s="33">
        <f t="shared" si="8"/>
        <v>2.8380142819835953E-2</v>
      </c>
      <c r="AJ14" s="33">
        <f t="shared" si="9"/>
        <v>2.1290947903184962E-2</v>
      </c>
      <c r="AK14" s="33">
        <f t="shared" si="10"/>
        <v>7.7221419819349824E-2</v>
      </c>
      <c r="AL14" s="30">
        <f t="shared" si="11"/>
        <v>6190312</v>
      </c>
      <c r="AM14" s="33">
        <v>-12</v>
      </c>
      <c r="AN14" s="34"/>
      <c r="AO14" s="34"/>
      <c r="AP14" s="34"/>
      <c r="AQ14" s="35">
        <v>23033944</v>
      </c>
      <c r="AR14" s="35">
        <v>4644008</v>
      </c>
      <c r="AS14" s="35">
        <v>1546304</v>
      </c>
      <c r="AT14" s="35">
        <v>16843632</v>
      </c>
      <c r="AU14" s="36">
        <v>70.916228124999904</v>
      </c>
      <c r="AV14" s="36">
        <v>74.689390625000001</v>
      </c>
      <c r="AW14" s="36">
        <v>40.859081249999903</v>
      </c>
      <c r="AX14" s="36">
        <v>43.414428124999901</v>
      </c>
      <c r="AY14" s="36">
        <v>39.463081249999902</v>
      </c>
      <c r="AZ14" s="37">
        <v>310.30700000000002</v>
      </c>
      <c r="BA14" s="37">
        <v>251.7</v>
      </c>
      <c r="BB14" s="37">
        <v>1168.1600000000001</v>
      </c>
      <c r="BC14" s="37">
        <v>10.170999999999999</v>
      </c>
      <c r="BE14" s="38">
        <f t="shared" si="12"/>
        <v>1.0040966375650116</v>
      </c>
      <c r="BF14" s="39" t="e">
        <f t="shared" si="13"/>
        <v>#DIV/0!</v>
      </c>
      <c r="BG14" s="39">
        <f t="shared" si="14"/>
        <v>6.9558873833186485E-4</v>
      </c>
      <c r="BH14" s="39"/>
      <c r="BJ14" s="38"/>
      <c r="BK14" s="38"/>
      <c r="BL14" s="38"/>
      <c r="BM14" s="38"/>
      <c r="BN14" s="38"/>
      <c r="BP14" s="38"/>
      <c r="BQ14" s="38"/>
      <c r="BR14" s="38"/>
      <c r="BS14" s="38"/>
      <c r="BT14" s="38"/>
      <c r="BV14" s="51">
        <f t="shared" si="15"/>
        <v>0.48124638485534404</v>
      </c>
      <c r="BW14" s="51">
        <f t="shared" si="15"/>
        <v>0.53227871505794944</v>
      </c>
      <c r="BX14" s="51">
        <f t="shared" si="15"/>
        <v>0.32999908231623376</v>
      </c>
      <c r="BY14" s="51">
        <f t="shared" si="16"/>
        <v>0.50676254995664671</v>
      </c>
      <c r="BZ14" s="55">
        <f t="shared" ref="BZ14:CA14" si="17">AVERAGE(BV10:BV14)</f>
        <v>0.64878728042743405</v>
      </c>
      <c r="CA14" s="51">
        <f t="shared" si="17"/>
        <v>0.69895291071054089</v>
      </c>
      <c r="CB14" s="51">
        <f>AVERAGE(BX10:BX14)</f>
        <v>0.41925408053227481</v>
      </c>
      <c r="CC14" s="58">
        <f>AVERAGE(BY10:BY14)</f>
        <v>0.67387009556898747</v>
      </c>
      <c r="CD14" s="51">
        <f t="shared" ref="CD14:CE14" si="18">(SUM(AB10:AB14)-SUM(AZ10:AZ14))/SUM(AB10:AB14)</f>
        <v>0.64040568651614005</v>
      </c>
      <c r="CE14" s="51">
        <f t="shared" si="18"/>
        <v>0.69081848322123518</v>
      </c>
      <c r="CF14" s="51">
        <f t="shared" ref="CF14" si="19">(SUM(AB10:AC14)-SUM(AZ10:BA14))/SUM(AB10:AC14)</f>
        <v>0.66412160865600278</v>
      </c>
    </row>
    <row r="15" spans="1:84" x14ac:dyDescent="0.15">
      <c r="A15" s="46"/>
      <c r="B15" s="46" t="s">
        <v>23</v>
      </c>
      <c r="C15" s="3" t="s">
        <v>144</v>
      </c>
      <c r="D15" s="46">
        <v>322589704</v>
      </c>
      <c r="E15" s="3">
        <v>10</v>
      </c>
      <c r="F15" s="3">
        <v>32</v>
      </c>
      <c r="G15" s="3">
        <v>30</v>
      </c>
      <c r="I15" s="4">
        <f t="shared" si="0"/>
        <v>4.4048550000000004</v>
      </c>
      <c r="J15" s="5">
        <f t="shared" si="1"/>
        <v>1.4564978180456744E-2</v>
      </c>
      <c r="K15" s="5">
        <f t="shared" si="2"/>
        <v>8.2289049126006829E-3</v>
      </c>
      <c r="L15" s="5">
        <f t="shared" si="3"/>
        <v>4.3908902932624288E-3</v>
      </c>
      <c r="M15" s="5">
        <f t="shared" si="4"/>
        <v>6.3360732678560631E-3</v>
      </c>
      <c r="N15" s="46">
        <f t="shared" si="5"/>
        <v>2654560</v>
      </c>
      <c r="O15" s="5">
        <v>-12</v>
      </c>
      <c r="P15" s="6">
        <v>30898742</v>
      </c>
      <c r="Q15" s="6">
        <v>965585.6875</v>
      </c>
      <c r="R15" s="6">
        <v>27935.75</v>
      </c>
      <c r="S15" s="7">
        <v>4698512</v>
      </c>
      <c r="T15" s="7">
        <v>1416456</v>
      </c>
      <c r="U15" s="7">
        <v>1238104</v>
      </c>
      <c r="V15" s="7">
        <v>2043952</v>
      </c>
      <c r="W15" s="8">
        <v>65.895415624999998</v>
      </c>
      <c r="X15" s="8">
        <v>67.664484375000001</v>
      </c>
      <c r="Y15" s="8">
        <v>29.421203125000002</v>
      </c>
      <c r="Z15" s="8">
        <v>43.104725000000002</v>
      </c>
      <c r="AA15" s="8">
        <v>43.299262499999998</v>
      </c>
      <c r="AB15" s="9">
        <v>475.726</v>
      </c>
      <c r="AC15" s="9">
        <v>417.60199999999998</v>
      </c>
      <c r="AD15" s="9">
        <v>1775.77</v>
      </c>
      <c r="AE15" s="9">
        <v>10.093</v>
      </c>
      <c r="AG15" s="4">
        <f t="shared" si="6"/>
        <v>4.4078400000000002</v>
      </c>
      <c r="AH15" s="5">
        <f t="shared" si="7"/>
        <v>1.4574848303280008E-2</v>
      </c>
      <c r="AI15" s="5">
        <f t="shared" si="8"/>
        <v>8.2708405349477612E-3</v>
      </c>
      <c r="AJ15" s="5">
        <f t="shared" si="9"/>
        <v>4.4328259156095071E-3</v>
      </c>
      <c r="AK15" s="5">
        <f t="shared" si="10"/>
        <v>6.3040077683322463E-3</v>
      </c>
      <c r="AL15" s="46">
        <f t="shared" si="11"/>
        <v>2668088</v>
      </c>
      <c r="AM15" s="5">
        <v>-12</v>
      </c>
      <c r="AN15" s="6"/>
      <c r="AO15" s="6"/>
      <c r="AP15" s="6"/>
      <c r="AQ15" s="7">
        <v>4701696</v>
      </c>
      <c r="AR15" s="7">
        <v>1429984</v>
      </c>
      <c r="AS15" s="7">
        <v>1238104</v>
      </c>
      <c r="AT15" s="7">
        <v>2033608</v>
      </c>
      <c r="AU15" s="8">
        <v>65.890928125000002</v>
      </c>
      <c r="AV15" s="8">
        <v>67.59839375</v>
      </c>
      <c r="AW15" s="8">
        <v>29.379074999999901</v>
      </c>
      <c r="AX15" s="8">
        <v>43.188468749999998</v>
      </c>
      <c r="AY15" s="8">
        <v>43.400668750000001</v>
      </c>
      <c r="AZ15" s="9">
        <v>134.37299999999999</v>
      </c>
      <c r="BA15" s="9">
        <v>103.666</v>
      </c>
      <c r="BB15" s="9">
        <v>1124.55</v>
      </c>
      <c r="BC15" s="9">
        <v>9.7650000000000006</v>
      </c>
      <c r="BE15" s="44">
        <f t="shared" si="12"/>
        <v>1.0050961364595261</v>
      </c>
      <c r="BF15" s="10" t="e">
        <f t="shared" si="13"/>
        <v>#DIV/0!</v>
      </c>
      <c r="BG15" s="10">
        <f t="shared" si="14"/>
        <v>2.4946545413014887E-3</v>
      </c>
      <c r="BH15" s="10">
        <f t="array" ref="BH15">AVERAGE(AL15:AL19/AQ15:AQ19) - AVERAGE(N15:N19/S15:S19)</f>
        <v>2.6176084447580572E-3</v>
      </c>
      <c r="BJ15" s="44">
        <f>IF( OR(ISBLANK(N15:N19),ISBLANK(AL15:AL19), ISBLANK(W15:W19),ISBLANK(AU15:AU19)), "·", bdRateExtend( N15:N19,W15:W19, AL15:AL19,AU15:AU19))</f>
        <v>1.2370282566740221E-2</v>
      </c>
      <c r="BK15" s="44">
        <f>IF( OR(ISBLANK(N15:N19),ISBLANK(AL15:AL19), ISBLANK(X15:X19),ISBLANK(AV15:AV19)), "·", bdRateExtend( N15:N19,X15:X19, AL15:AL19,AV15:AV19))</f>
        <v>1.7137728501862792E-2</v>
      </c>
      <c r="BL15" s="44">
        <f>IF( OR(ISBLANK(V15:V19),ISBLANK(AT15:AT19), ISBLANK(Y15:Y19),ISBLANK(AW15:AW19)), "·", bdRateExtend( V15:V19,Y15:Y19, AT15:AT19,AW15:AW19))</f>
        <v>1.0695917206958283E-2</v>
      </c>
      <c r="BM15" s="44">
        <f>IF( OR(ISBLANK(V15:V19),ISBLANK(AT15:AT19), ISBLANK(Z15:Z19),ISBLANK(AX15:AX19)), "·", bdRateExtend( V15:V19,Z15:Z19, AT15:AT19,AX15:AX19))</f>
        <v>-7.9310026397261479E-2</v>
      </c>
      <c r="BN15" s="44">
        <f>IF( OR(ISBLANK(V15:V19),ISBLANK(AT15:AT19), ISBLANK(AA15:AA19),ISBLANK(AY15:AY19)), "·", bdRateExtend( V15:V19,AA15:AA19, AT15:AT19,AY15:AY19))</f>
        <v>-7.5277414184931724E-2</v>
      </c>
      <c r="BP15" s="44">
        <f>IF( OR(ISBLANK(S15:S19),ISBLANK(AQ15:AQ19), ISBLANK(W15:W19),ISBLANK(AU15:AU19)), "·", bdRateExtend( S15:S19,W15:W19, AQ15:AQ19,AU15:AU19))</f>
        <v>7.0431667654453634E-3</v>
      </c>
      <c r="BQ15" s="44">
        <f>IF( OR(ISBLANK(S15:S19),ISBLANK(AQ15:AQ19), ISBLANK(X15:X19),ISBLANK(AV15:AV19)), "·", bdRateExtend( S15:S19,X15:X19, AQ15:AQ19,AV15:AV19))</f>
        <v>1.6980845753401974E-2</v>
      </c>
      <c r="BR15" s="44">
        <f>IF( OR(ISBLANK(S15:S19),ISBLANK(AQ15:AQ19), ISBLANK(Y15:Y19),ISBLANK(AW15:AW19)), "·", bdRateExtend( S15:S19,Y15:Y19, AQ15:AQ19,AW15:AW19))</f>
        <v>1.2089996315027829E-2</v>
      </c>
      <c r="BS15" s="44">
        <f>IF( OR(ISBLANK(S15:S19),ISBLANK(AQ15:AQ19), ISBLANK(Z15:Z19),ISBLANK(AX15:AX19)), "·", bdRateExtend( S15:S19,Z15:Z19, AQ15:AQ19,AX15:AX19))</f>
        <v>-5.7903248629280979E-2</v>
      </c>
      <c r="BT15" s="44">
        <f>IF( OR(ISBLANK(S15:S19),ISBLANK(AQ15:AQ19), ISBLANK(AA15:AA19),ISBLANK(AY15:AY19)), "·", bdRateExtend( S15:S19,AA15:AA19, AQ15:AQ19,AY15:AY19))</f>
        <v>-5.5146603668193017E-2</v>
      </c>
      <c r="BV15" s="51">
        <f>(AB15-AZ15)/AB15</f>
        <v>0.71754118967641034</v>
      </c>
      <c r="BW15" s="51">
        <f t="shared" si="15"/>
        <v>0.7517588517296373</v>
      </c>
      <c r="BX15" s="51">
        <f t="shared" si="15"/>
        <v>0.36672542052180185</v>
      </c>
      <c r="BY15" s="51">
        <f t="shared" si="16"/>
        <v>0.73465002070302377</v>
      </c>
      <c r="BZ15" s="55"/>
      <c r="CA15" s="51"/>
      <c r="CC15" s="57"/>
    </row>
    <row r="16" spans="1:84" outlineLevel="1" x14ac:dyDescent="0.15">
      <c r="A16" s="11"/>
      <c r="B16" s="11" t="s">
        <v>23</v>
      </c>
      <c r="C16" s="12" t="s">
        <v>145</v>
      </c>
      <c r="D16" s="11">
        <v>322589704</v>
      </c>
      <c r="E16" s="12">
        <v>10</v>
      </c>
      <c r="F16" s="12">
        <v>32</v>
      </c>
      <c r="G16" s="12">
        <v>30</v>
      </c>
      <c r="I16" s="13">
        <f t="shared" si="0"/>
        <v>7.0023150000000003</v>
      </c>
      <c r="J16" s="14">
        <f t="shared" si="1"/>
        <v>2.3153671389338576E-2</v>
      </c>
      <c r="K16" s="14">
        <f t="shared" si="2"/>
        <v>1.0043048367098536E-2</v>
      </c>
      <c r="L16" s="14">
        <f t="shared" si="3"/>
        <v>6.2050337477602821E-3</v>
      </c>
      <c r="M16" s="14">
        <f t="shared" si="4"/>
        <v>1.311062302224004E-2</v>
      </c>
      <c r="N16" s="11">
        <f t="shared" si="5"/>
        <v>3239784</v>
      </c>
      <c r="O16" s="14">
        <v>-12</v>
      </c>
      <c r="P16" s="15">
        <v>33174723</v>
      </c>
      <c r="Q16" s="15">
        <v>1036710.09375</v>
      </c>
      <c r="R16" s="15">
        <v>34658.125</v>
      </c>
      <c r="S16" s="16">
        <v>7469136</v>
      </c>
      <c r="T16" s="16">
        <v>2001680</v>
      </c>
      <c r="U16" s="16">
        <v>1238104</v>
      </c>
      <c r="V16" s="16">
        <v>4229352</v>
      </c>
      <c r="W16" s="17">
        <v>67.721312499999996</v>
      </c>
      <c r="X16" s="17">
        <v>69.756862499999997</v>
      </c>
      <c r="Y16" s="17">
        <v>31.811240625</v>
      </c>
      <c r="Z16" s="17">
        <v>43.961996874999997</v>
      </c>
      <c r="AA16" s="17">
        <v>44.231640624999997</v>
      </c>
      <c r="AB16" s="18">
        <v>520.83500000000004</v>
      </c>
      <c r="AC16" s="18">
        <v>431.221</v>
      </c>
      <c r="AD16" s="18">
        <v>1836.77</v>
      </c>
      <c r="AE16" s="18">
        <v>9.843</v>
      </c>
      <c r="AG16" s="13">
        <f t="shared" si="6"/>
        <v>6.9933674999999997</v>
      </c>
      <c r="AH16" s="14">
        <f t="shared" si="7"/>
        <v>2.3124085820172363E-2</v>
      </c>
      <c r="AI16" s="14">
        <f t="shared" si="8"/>
        <v>1.0103186678270426E-2</v>
      </c>
      <c r="AJ16" s="14">
        <f t="shared" si="9"/>
        <v>6.2651720589321719E-3</v>
      </c>
      <c r="AK16" s="14">
        <f t="shared" si="10"/>
        <v>1.3020899141901937E-2</v>
      </c>
      <c r="AL16" s="11">
        <f t="shared" si="11"/>
        <v>3259184</v>
      </c>
      <c r="AM16" s="14">
        <v>-12</v>
      </c>
      <c r="AN16" s="15"/>
      <c r="AO16" s="15"/>
      <c r="AP16" s="15"/>
      <c r="AQ16" s="16">
        <v>7459592</v>
      </c>
      <c r="AR16" s="16">
        <v>2021080</v>
      </c>
      <c r="AS16" s="16">
        <v>1238104</v>
      </c>
      <c r="AT16" s="16">
        <v>4200408</v>
      </c>
      <c r="AU16" s="17">
        <v>67.688484374999902</v>
      </c>
      <c r="AV16" s="17">
        <v>69.664218750000003</v>
      </c>
      <c r="AW16" s="17">
        <v>31.729649999999999</v>
      </c>
      <c r="AX16" s="17">
        <v>44.198437499999997</v>
      </c>
      <c r="AY16" s="17">
        <v>44.447912500000001</v>
      </c>
      <c r="AZ16" s="18">
        <v>168.398</v>
      </c>
      <c r="BA16" s="18">
        <v>124.477</v>
      </c>
      <c r="BB16" s="18">
        <v>1166.5</v>
      </c>
      <c r="BC16" s="18">
        <v>9.734</v>
      </c>
      <c r="BE16" s="43">
        <f t="shared" si="12"/>
        <v>1.005988053524556</v>
      </c>
      <c r="BF16" s="19" t="e">
        <f t="shared" si="13"/>
        <v>#DIV/0!</v>
      </c>
      <c r="BG16" s="19">
        <f t="shared" si="14"/>
        <v>3.1556376153875632E-3</v>
      </c>
      <c r="BH16" s="19"/>
      <c r="BJ16" s="43"/>
      <c r="BK16" s="43"/>
      <c r="BL16" s="43"/>
      <c r="BM16" s="43"/>
      <c r="BN16" s="43"/>
      <c r="BP16" s="43"/>
      <c r="BQ16" s="43"/>
      <c r="BR16" s="43"/>
      <c r="BS16" s="43"/>
      <c r="BT16" s="43"/>
      <c r="BV16" s="51">
        <f t="shared" ref="BV16:BX29" si="20">(AB16-AZ16)/AB16</f>
        <v>0.67667687463400117</v>
      </c>
      <c r="BW16" s="51">
        <f t="shared" si="15"/>
        <v>0.71133826970393377</v>
      </c>
      <c r="BX16" s="51">
        <f t="shared" si="15"/>
        <v>0.3649177632474398</v>
      </c>
      <c r="BY16" s="51">
        <f t="shared" si="16"/>
        <v>0.69400757216896747</v>
      </c>
      <c r="BZ16" s="55"/>
      <c r="CA16" s="51"/>
      <c r="CC16" s="57"/>
    </row>
    <row r="17" spans="1:84" outlineLevel="1" x14ac:dyDescent="0.15">
      <c r="A17" s="46"/>
      <c r="B17" s="46" t="s">
        <v>23</v>
      </c>
      <c r="C17" s="3" t="s">
        <v>146</v>
      </c>
      <c r="D17" s="46">
        <v>322589704</v>
      </c>
      <c r="E17" s="3">
        <v>10</v>
      </c>
      <c r="F17" s="3">
        <v>32</v>
      </c>
      <c r="G17" s="3">
        <v>30</v>
      </c>
      <c r="I17" s="4">
        <f t="shared" si="0"/>
        <v>11.682667500000001</v>
      </c>
      <c r="J17" s="5">
        <f t="shared" si="1"/>
        <v>3.8629602388053901E-2</v>
      </c>
      <c r="K17" s="5">
        <f t="shared" si="2"/>
        <v>1.2780990679107353E-2</v>
      </c>
      <c r="L17" s="5">
        <f t="shared" si="3"/>
        <v>8.9429760597690994E-3</v>
      </c>
      <c r="M17" s="5">
        <f t="shared" si="4"/>
        <v>2.5848611708946544E-2</v>
      </c>
      <c r="N17" s="46">
        <f t="shared" si="5"/>
        <v>4123016</v>
      </c>
      <c r="O17" s="5">
        <v>-12</v>
      </c>
      <c r="P17" s="6">
        <v>33536779</v>
      </c>
      <c r="Q17" s="6">
        <v>1048024.34375</v>
      </c>
      <c r="R17" s="6">
        <v>36443.15625</v>
      </c>
      <c r="S17" s="7">
        <v>12461512</v>
      </c>
      <c r="T17" s="7">
        <v>2884912</v>
      </c>
      <c r="U17" s="7">
        <v>1238104</v>
      </c>
      <c r="V17" s="7">
        <v>8338496</v>
      </c>
      <c r="W17" s="8">
        <v>69.122003125000006</v>
      </c>
      <c r="X17" s="8">
        <v>71.601190624999902</v>
      </c>
      <c r="Y17" s="8">
        <v>34.352246874999999</v>
      </c>
      <c r="Z17" s="8">
        <v>44.816187499999998</v>
      </c>
      <c r="AA17" s="8">
        <v>45.212228124999903</v>
      </c>
      <c r="AB17" s="9">
        <v>560.51199999999994</v>
      </c>
      <c r="AC17" s="9">
        <v>465.22800000000001</v>
      </c>
      <c r="AD17" s="9">
        <v>1911.09</v>
      </c>
      <c r="AE17" s="9">
        <v>9.75</v>
      </c>
      <c r="AG17" s="4">
        <f t="shared" si="6"/>
        <v>11.71101</v>
      </c>
      <c r="AH17" s="5">
        <f t="shared" si="7"/>
        <v>3.8723318956267745E-2</v>
      </c>
      <c r="AI17" s="5">
        <f t="shared" si="8"/>
        <v>1.2953469835478692E-2</v>
      </c>
      <c r="AJ17" s="5">
        <f t="shared" si="9"/>
        <v>9.1154552161404386E-3</v>
      </c>
      <c r="AK17" s="5">
        <f t="shared" si="10"/>
        <v>2.576984912078905E-2</v>
      </c>
      <c r="AL17" s="46">
        <f t="shared" si="11"/>
        <v>4178656</v>
      </c>
      <c r="AM17" s="5">
        <v>-12</v>
      </c>
      <c r="AN17" s="6"/>
      <c r="AO17" s="6"/>
      <c r="AP17" s="6"/>
      <c r="AQ17" s="7">
        <v>12491744</v>
      </c>
      <c r="AR17" s="7">
        <v>2940552</v>
      </c>
      <c r="AS17" s="7">
        <v>1238104</v>
      </c>
      <c r="AT17" s="7">
        <v>8313088</v>
      </c>
      <c r="AU17" s="8">
        <v>69.117740624999996</v>
      </c>
      <c r="AV17" s="8">
        <v>71.514090624999895</v>
      </c>
      <c r="AW17" s="8">
        <v>34.322434374999901</v>
      </c>
      <c r="AX17" s="8">
        <v>44.880187499999998</v>
      </c>
      <c r="AY17" s="8">
        <v>45.312515624999897</v>
      </c>
      <c r="AZ17" s="9">
        <v>198.643</v>
      </c>
      <c r="BA17" s="9">
        <v>194.85300000000001</v>
      </c>
      <c r="BB17" s="9">
        <v>1269.94</v>
      </c>
      <c r="BC17" s="9">
        <v>9.7810000000000006</v>
      </c>
      <c r="BE17" s="44">
        <f t="shared" si="12"/>
        <v>1.0134949755227727</v>
      </c>
      <c r="BF17" s="10" t="e">
        <f t="shared" si="13"/>
        <v>#DIV/0!</v>
      </c>
      <c r="BG17" s="10">
        <f t="shared" si="14"/>
        <v>3.6534082143480084E-3</v>
      </c>
      <c r="BH17" s="10"/>
      <c r="BJ17" s="44"/>
      <c r="BK17" s="44"/>
      <c r="BL17" s="44"/>
      <c r="BM17" s="44"/>
      <c r="BN17" s="44"/>
      <c r="BP17" s="44"/>
      <c r="BQ17" s="44"/>
      <c r="BR17" s="44"/>
      <c r="BS17" s="44"/>
      <c r="BT17" s="44"/>
      <c r="BV17" s="51">
        <f t="shared" si="20"/>
        <v>0.64560437599908649</v>
      </c>
      <c r="BW17" s="51">
        <f t="shared" si="15"/>
        <v>0.58116665376976451</v>
      </c>
      <c r="BX17" s="51">
        <f>(AD17-BB17)/AD17</f>
        <v>0.3354891711013086</v>
      </c>
      <c r="BY17" s="51">
        <f t="shared" si="16"/>
        <v>0.6133855148844255</v>
      </c>
      <c r="BZ17" s="55"/>
      <c r="CA17" s="51"/>
      <c r="CC17" s="57"/>
    </row>
    <row r="18" spans="1:84" outlineLevel="1" x14ac:dyDescent="0.15">
      <c r="A18" s="11"/>
      <c r="B18" s="11" t="s">
        <v>23</v>
      </c>
      <c r="C18" s="12" t="s">
        <v>147</v>
      </c>
      <c r="D18" s="11">
        <v>322589704</v>
      </c>
      <c r="E18" s="12">
        <v>10</v>
      </c>
      <c r="F18" s="12">
        <v>32</v>
      </c>
      <c r="G18" s="12">
        <v>30</v>
      </c>
      <c r="I18" s="13">
        <f t="shared" si="0"/>
        <v>20.167642499999999</v>
      </c>
      <c r="J18" s="14">
        <f t="shared" si="1"/>
        <v>6.6685798502732124E-2</v>
      </c>
      <c r="K18" s="14">
        <f t="shared" si="2"/>
        <v>1.7280179531086338E-2</v>
      </c>
      <c r="L18" s="14">
        <f t="shared" si="3"/>
        <v>1.3442164911748083E-2</v>
      </c>
      <c r="M18" s="14">
        <f t="shared" si="4"/>
        <v>4.940561897164579E-2</v>
      </c>
      <c r="N18" s="11">
        <f t="shared" si="5"/>
        <v>5574408</v>
      </c>
      <c r="O18" s="14">
        <v>-12</v>
      </c>
      <c r="P18" s="15">
        <v>34802045</v>
      </c>
      <c r="Q18" s="15">
        <v>1087563.90625</v>
      </c>
      <c r="R18" s="15">
        <v>40924.21875</v>
      </c>
      <c r="S18" s="16">
        <v>21512152</v>
      </c>
      <c r="T18" s="16">
        <v>4336304</v>
      </c>
      <c r="U18" s="16">
        <v>1238104</v>
      </c>
      <c r="V18" s="16">
        <v>15937744</v>
      </c>
      <c r="W18" s="17">
        <v>70.369831250000004</v>
      </c>
      <c r="X18" s="17">
        <v>72.947381249999907</v>
      </c>
      <c r="Y18" s="17">
        <v>37.033359375000003</v>
      </c>
      <c r="Z18" s="17">
        <v>46.129693750000001</v>
      </c>
      <c r="AA18" s="17">
        <v>46.645259375000002</v>
      </c>
      <c r="AB18" s="18">
        <v>607.78800000000001</v>
      </c>
      <c r="AC18" s="18">
        <v>537.05799999999999</v>
      </c>
      <c r="AD18" s="18">
        <v>2033.27</v>
      </c>
      <c r="AE18" s="18">
        <v>9.8119999999999994</v>
      </c>
      <c r="AG18" s="13">
        <f t="shared" si="6"/>
        <v>20.1513825</v>
      </c>
      <c r="AH18" s="14">
        <f t="shared" si="7"/>
        <v>6.6632033612579272E-2</v>
      </c>
      <c r="AI18" s="14">
        <f t="shared" si="8"/>
        <v>1.7462603208191665E-2</v>
      </c>
      <c r="AJ18" s="14">
        <f t="shared" si="9"/>
        <v>1.3624588588853412E-2</v>
      </c>
      <c r="AK18" s="14">
        <f t="shared" si="10"/>
        <v>4.9169430404387614E-2</v>
      </c>
      <c r="AL18" s="11">
        <f t="shared" si="11"/>
        <v>5633256</v>
      </c>
      <c r="AM18" s="14">
        <v>-12</v>
      </c>
      <c r="AN18" s="15"/>
      <c r="AO18" s="15"/>
      <c r="AP18" s="15"/>
      <c r="AQ18" s="16">
        <v>21494808</v>
      </c>
      <c r="AR18" s="16">
        <v>4395152</v>
      </c>
      <c r="AS18" s="16">
        <v>1238104</v>
      </c>
      <c r="AT18" s="16">
        <v>15861552</v>
      </c>
      <c r="AU18" s="17">
        <v>70.351443749999902</v>
      </c>
      <c r="AV18" s="17">
        <v>72.925740625000003</v>
      </c>
      <c r="AW18" s="17">
        <v>36.973256249999999</v>
      </c>
      <c r="AX18" s="17">
        <v>46.251840625</v>
      </c>
      <c r="AY18" s="17">
        <v>46.772568749999998</v>
      </c>
      <c r="AZ18" s="18">
        <v>284.35700000000003</v>
      </c>
      <c r="BA18" s="18">
        <v>276.83199999999999</v>
      </c>
      <c r="BB18" s="18">
        <v>1434.13</v>
      </c>
      <c r="BC18" s="18">
        <v>10</v>
      </c>
      <c r="BE18" s="43">
        <f t="shared" si="12"/>
        <v>1.010556816078048</v>
      </c>
      <c r="BF18" s="19" t="e">
        <f t="shared" si="13"/>
        <v>#DIV/0!</v>
      </c>
      <c r="BG18" s="19">
        <f t="shared" si="14"/>
        <v>2.9468661333196255E-3</v>
      </c>
      <c r="BH18" s="19"/>
      <c r="BJ18" s="43"/>
      <c r="BK18" s="43"/>
      <c r="BL18" s="43"/>
      <c r="BM18" s="43"/>
      <c r="BN18" s="43"/>
      <c r="BP18" s="43"/>
      <c r="BQ18" s="43"/>
      <c r="BR18" s="43"/>
      <c r="BS18" s="43"/>
      <c r="BT18" s="43"/>
      <c r="BV18" s="51">
        <f t="shared" si="20"/>
        <v>0.53214443194008432</v>
      </c>
      <c r="BW18" s="51">
        <f t="shared" si="15"/>
        <v>0.48453984485846968</v>
      </c>
      <c r="BX18" s="51">
        <f t="shared" si="15"/>
        <v>0.29466819458310989</v>
      </c>
      <c r="BY18" s="51">
        <f t="shared" si="16"/>
        <v>0.508342138399277</v>
      </c>
      <c r="BZ18" s="55"/>
      <c r="CA18" s="51"/>
      <c r="CC18" s="57"/>
    </row>
    <row r="19" spans="1:84" ht="14.25" outlineLevel="1" thickBot="1" x14ac:dyDescent="0.2">
      <c r="A19" s="46"/>
      <c r="B19" s="20" t="s">
        <v>23</v>
      </c>
      <c r="C19" s="21" t="s">
        <v>148</v>
      </c>
      <c r="D19" s="20">
        <v>322589704</v>
      </c>
      <c r="E19" s="21">
        <v>10</v>
      </c>
      <c r="F19" s="21">
        <v>32</v>
      </c>
      <c r="G19" s="21">
        <v>30</v>
      </c>
      <c r="I19" s="22">
        <f t="shared" si="0"/>
        <v>35.688764999999997</v>
      </c>
      <c r="J19" s="23">
        <f t="shared" si="1"/>
        <v>0.11800753566518044</v>
      </c>
      <c r="K19" s="23">
        <f t="shared" si="2"/>
        <v>2.7760638014659018E-2</v>
      </c>
      <c r="L19" s="23">
        <f t="shared" si="3"/>
        <v>2.064958651005179E-2</v>
      </c>
      <c r="M19" s="23">
        <f t="shared" si="4"/>
        <v>9.0246897650521421E-2</v>
      </c>
      <c r="N19" s="20">
        <f t="shared" si="5"/>
        <v>8955296</v>
      </c>
      <c r="O19" s="23">
        <v>-12</v>
      </c>
      <c r="P19" s="24">
        <v>33040002</v>
      </c>
      <c r="Q19" s="24">
        <v>1032500.0625</v>
      </c>
      <c r="R19" s="24">
        <v>17720.5</v>
      </c>
      <c r="S19" s="25">
        <v>38068016</v>
      </c>
      <c r="T19" s="25">
        <v>6661344</v>
      </c>
      <c r="U19" s="25">
        <v>2293952</v>
      </c>
      <c r="V19" s="25">
        <v>29112720</v>
      </c>
      <c r="W19" s="26">
        <v>71.147937499999898</v>
      </c>
      <c r="X19" s="26">
        <v>75.002496874999906</v>
      </c>
      <c r="Y19" s="26">
        <v>39.495606249999902</v>
      </c>
      <c r="Z19" s="26">
        <v>47.874012499999999</v>
      </c>
      <c r="AA19" s="26">
        <v>48.468343750000003</v>
      </c>
      <c r="AB19" s="27">
        <v>675.197</v>
      </c>
      <c r="AC19" s="27">
        <v>651.59500000000003</v>
      </c>
      <c r="AD19" s="27">
        <v>2228.9499999999998</v>
      </c>
      <c r="AE19" s="27">
        <v>9.89</v>
      </c>
      <c r="AG19" s="22">
        <f t="shared" si="6"/>
        <v>35.729520000000001</v>
      </c>
      <c r="AH19" s="23">
        <f t="shared" si="7"/>
        <v>0.11814229508081263</v>
      </c>
      <c r="AI19" s="23">
        <f t="shared" si="8"/>
        <v>2.7891280745897581E-2</v>
      </c>
      <c r="AJ19" s="23">
        <f t="shared" si="9"/>
        <v>2.0780229241290353E-2</v>
      </c>
      <c r="AK19" s="23">
        <f t="shared" si="10"/>
        <v>9.0251014334915045E-2</v>
      </c>
      <c r="AL19" s="20">
        <f t="shared" si="11"/>
        <v>8997440</v>
      </c>
      <c r="AM19" s="23">
        <v>-12</v>
      </c>
      <c r="AN19" s="24"/>
      <c r="AO19" s="24"/>
      <c r="AP19" s="24"/>
      <c r="AQ19" s="25">
        <v>38111488</v>
      </c>
      <c r="AR19" s="25">
        <v>6703488</v>
      </c>
      <c r="AS19" s="25">
        <v>2293952</v>
      </c>
      <c r="AT19" s="25">
        <v>29114048</v>
      </c>
      <c r="AU19" s="26">
        <v>71.138315624999905</v>
      </c>
      <c r="AV19" s="26">
        <v>74.971393750000004</v>
      </c>
      <c r="AW19" s="26">
        <v>39.437140624999998</v>
      </c>
      <c r="AX19" s="26">
        <v>47.951012499999997</v>
      </c>
      <c r="AY19" s="26">
        <v>48.548665624999899</v>
      </c>
      <c r="AZ19" s="27">
        <v>384.387</v>
      </c>
      <c r="BA19" s="27">
        <v>432.03100000000001</v>
      </c>
      <c r="BB19" s="27">
        <v>1702.34</v>
      </c>
      <c r="BC19" s="27">
        <v>9.6709999999999994</v>
      </c>
      <c r="BE19" s="28">
        <f t="shared" si="12"/>
        <v>1.0047060421006742</v>
      </c>
      <c r="BF19" s="29" t="e">
        <f t="shared" si="13"/>
        <v>#DIV/0!</v>
      </c>
      <c r="BG19" s="29">
        <f t="shared" si="14"/>
        <v>8.3747571943351695E-4</v>
      </c>
      <c r="BH19" s="29"/>
      <c r="BJ19" s="28"/>
      <c r="BK19" s="28"/>
      <c r="BL19" s="28"/>
      <c r="BM19" s="28"/>
      <c r="BN19" s="28"/>
      <c r="BP19" s="28"/>
      <c r="BQ19" s="28"/>
      <c r="BR19" s="28"/>
      <c r="BS19" s="28"/>
      <c r="BT19" s="28"/>
      <c r="BV19" s="51">
        <f t="shared" si="20"/>
        <v>0.43070392789067485</v>
      </c>
      <c r="BW19" s="51">
        <f t="shared" si="15"/>
        <v>0.33696391163222555</v>
      </c>
      <c r="BX19" s="51">
        <f t="shared" si="15"/>
        <v>0.23625922519571993</v>
      </c>
      <c r="BY19" s="51">
        <f t="shared" si="16"/>
        <v>0.3838339197614502</v>
      </c>
      <c r="BZ19" s="55">
        <f t="shared" ref="BZ19:CA19" si="21">AVERAGE(BV15:BV19)</f>
        <v>0.60053416002805149</v>
      </c>
      <c r="CA19" s="51">
        <f t="shared" si="21"/>
        <v>0.57315350633880624</v>
      </c>
      <c r="CB19" s="51">
        <f>AVERAGE(BX15:BX19)</f>
        <v>0.31961195492987599</v>
      </c>
      <c r="CC19" s="58">
        <f>AVERAGE(BY15:BY19)</f>
        <v>0.5868438331834287</v>
      </c>
      <c r="CD19" s="51">
        <f t="shared" ref="CD19:CE19" si="22">(SUM(AB15:AB19)-SUM(AZ15:AZ19))/SUM(AB15:AB19)</f>
        <v>0.58798094968483039</v>
      </c>
      <c r="CE19" s="51">
        <f t="shared" si="22"/>
        <v>0.54774555840403016</v>
      </c>
      <c r="CF19" s="51">
        <f t="shared" ref="CF19" si="23">(SUM(AB15:AC19)-SUM(AZ15:BA19))/SUM(AB15:AC19)</f>
        <v>0.56913353055966176</v>
      </c>
    </row>
    <row r="20" spans="1:84" x14ac:dyDescent="0.15">
      <c r="A20" s="11"/>
      <c r="B20" s="11" t="s">
        <v>26</v>
      </c>
      <c r="C20" s="12" t="s">
        <v>144</v>
      </c>
      <c r="D20" s="11">
        <v>250602891</v>
      </c>
      <c r="E20" s="12">
        <v>10</v>
      </c>
      <c r="F20" s="12">
        <v>32</v>
      </c>
      <c r="G20" s="12">
        <v>50</v>
      </c>
      <c r="I20" s="13">
        <f t="shared" si="0"/>
        <v>5.0936000000000003</v>
      </c>
      <c r="J20" s="14">
        <f t="shared" si="1"/>
        <v>1.3008245782767127E-2</v>
      </c>
      <c r="K20" s="14">
        <f t="shared" si="2"/>
        <v>7.583088895810065E-3</v>
      </c>
      <c r="L20" s="14">
        <f t="shared" si="3"/>
        <v>3.7914646403660202E-3</v>
      </c>
      <c r="M20" s="14">
        <f t="shared" si="4"/>
        <v>5.425156886957062E-3</v>
      </c>
      <c r="N20" s="11">
        <f t="shared" si="5"/>
        <v>1900344</v>
      </c>
      <c r="O20" s="14">
        <v>-12</v>
      </c>
      <c r="P20" s="15">
        <v>30202618</v>
      </c>
      <c r="Q20" s="15">
        <v>943831.8125</v>
      </c>
      <c r="R20" s="15">
        <v>27795.1875</v>
      </c>
      <c r="S20" s="16">
        <v>3259904</v>
      </c>
      <c r="T20" s="16">
        <v>950152</v>
      </c>
      <c r="U20" s="16">
        <v>950192</v>
      </c>
      <c r="V20" s="16">
        <v>1359560</v>
      </c>
      <c r="W20" s="17">
        <v>67.119896874999995</v>
      </c>
      <c r="X20" s="17">
        <v>68.826574999999906</v>
      </c>
      <c r="Y20" s="17">
        <v>30.701740624999999</v>
      </c>
      <c r="Z20" s="17">
        <v>39.504118749999897</v>
      </c>
      <c r="AA20" s="17">
        <v>38.223546874999997</v>
      </c>
      <c r="AB20" s="18">
        <v>517.50800000000004</v>
      </c>
      <c r="AC20" s="18">
        <v>460.06200000000001</v>
      </c>
      <c r="AD20" s="18">
        <v>1816.06</v>
      </c>
      <c r="AE20" s="18">
        <v>10.875</v>
      </c>
      <c r="AG20" s="13">
        <f t="shared" si="6"/>
        <v>5.1354875</v>
      </c>
      <c r="AH20" s="14">
        <f t="shared" si="7"/>
        <v>1.3115219808058798E-2</v>
      </c>
      <c r="AI20" s="14">
        <f t="shared" si="8"/>
        <v>7.6574695221692394E-3</v>
      </c>
      <c r="AJ20" s="14">
        <f t="shared" si="9"/>
        <v>3.865845266725195E-3</v>
      </c>
      <c r="AK20" s="14">
        <f t="shared" si="10"/>
        <v>5.4577502858895593E-3</v>
      </c>
      <c r="AL20" s="11">
        <f t="shared" si="11"/>
        <v>1918984</v>
      </c>
      <c r="AM20" s="14">
        <v>-12</v>
      </c>
      <c r="AN20" s="15"/>
      <c r="AO20" s="15"/>
      <c r="AP20" s="15"/>
      <c r="AQ20" s="16">
        <v>3286712</v>
      </c>
      <c r="AR20" s="16">
        <v>968792</v>
      </c>
      <c r="AS20" s="16">
        <v>950192</v>
      </c>
      <c r="AT20" s="16">
        <v>1367728</v>
      </c>
      <c r="AU20" s="17">
        <v>67.077174999999997</v>
      </c>
      <c r="AV20" s="17">
        <v>68.758631249999993</v>
      </c>
      <c r="AW20" s="17">
        <v>30.559456249999901</v>
      </c>
      <c r="AX20" s="17">
        <v>39.440371874999997</v>
      </c>
      <c r="AY20" s="17">
        <v>38.06468125</v>
      </c>
      <c r="AZ20" s="18">
        <v>130.541</v>
      </c>
      <c r="BA20" s="18">
        <v>96.97</v>
      </c>
      <c r="BB20" s="18">
        <v>1067.8800000000001</v>
      </c>
      <c r="BC20" s="18">
        <v>10.843</v>
      </c>
      <c r="BE20" s="43">
        <f t="shared" si="12"/>
        <v>1.0098087504157141</v>
      </c>
      <c r="BF20" s="19" t="e">
        <f t="shared" si="13"/>
        <v>#DIV/0!</v>
      </c>
      <c r="BG20" s="19">
        <f t="shared" si="14"/>
        <v>9.1654410336605707E-4</v>
      </c>
      <c r="BH20" s="19">
        <f t="array" ref="BH20">AVERAGE(AL20:AL24/AQ20:AQ24) - AVERAGE(N20:N24/S20:S24)</f>
        <v>1.6952577201235219E-3</v>
      </c>
      <c r="BJ20" s="43">
        <f>IF( OR(ISBLANK(N20:N24),ISBLANK(AL20:AL24), ISBLANK(W20:W24),ISBLANK(AU20:AU24)), "·", bdRateExtend( N20:N24,W20:W24, AL20:AL24,AU20:AU24))</f>
        <v>1.9519707101377737E-2</v>
      </c>
      <c r="BK20" s="43">
        <f>IF( OR(ISBLANK(N20:N24),ISBLANK(AL20:AL24), ISBLANK(X20:X24),ISBLANK(AV20:AV24)), "·", bdRateExtend( N20:N24,X20:X24, AL20:AL24,AV20:AV24))</f>
        <v>1.8887202033727402E-2</v>
      </c>
      <c r="BL20" s="43">
        <f>IF( OR(ISBLANK(V20:V24),ISBLANK(AT20:AT24), ISBLANK(Y20:Y24),ISBLANK(AW20:AW24)), "·", bdRateExtend( V20:V24,Y20:Y24, AT20:AT24,AW20:AW24))</f>
        <v>5.7331474208805577E-2</v>
      </c>
      <c r="BM20" s="43">
        <f>IF( OR(ISBLANK(V20:V24),ISBLANK(AT20:AT24), ISBLANK(Z20:Z24),ISBLANK(AX20:AX24)), "·", bdRateExtend( V20:V24,Z20:Z24, AT20:AT24,AX20:AX24))</f>
        <v>1.111252681629904E-2</v>
      </c>
      <c r="BN20" s="43">
        <f>IF( OR(ISBLANK(V20:V24),ISBLANK(AT20:AT24), ISBLANK(AA20:AA24),ISBLANK(AY20:AY24)), "·", bdRateExtend( V20:V24,AA20:AA24, AT20:AT24,AY20:AY24))</f>
        <v>3.1103715588169045E-2</v>
      </c>
      <c r="BP20" s="43">
        <f>IF( OR(ISBLANK(S20:S24),ISBLANK(AQ20:AQ24), ISBLANK(W20:W24),ISBLANK(AU20:AU24)), "·", bdRateExtend( S20:S24,W20:W24, AQ20:AQ24,AU20:AU24))</f>
        <v>2.3133471459561461E-2</v>
      </c>
      <c r="BQ20" s="43">
        <f>IF( OR(ISBLANK(S20:S24),ISBLANK(AQ20:AQ24), ISBLANK(X20:X24),ISBLANK(AV20:AV24)), "·", bdRateExtend( S20:S24,X20:X24, AQ20:AQ24,AV20:AV24))</f>
        <v>2.2352796086871907E-2</v>
      </c>
      <c r="BR20" s="43">
        <f>IF( OR(ISBLANK(S20:S24),ISBLANK(AQ20:AQ24), ISBLANK(Y20:Y24),ISBLANK(AW20:AW24)), "·", bdRateExtend( S20:S24,Y20:Y24, AQ20:AQ24,AW20:AW24))</f>
        <v>4.3665061217438517E-2</v>
      </c>
      <c r="BS20" s="43">
        <f>IF( OR(ISBLANK(S20:S24),ISBLANK(AQ20:AQ24), ISBLANK(Z20:Z24),ISBLANK(AX20:AX24)), "·", bdRateExtend( S20:S24,Z20:Z24, AQ20:AQ24,AX20:AX24))</f>
        <v>1.1384237193982072E-2</v>
      </c>
      <c r="BT20" s="43">
        <f>IF( OR(ISBLANK(S20:S24),ISBLANK(AQ20:AQ24), ISBLANK(AA20:AA24),ISBLANK(AY20:AY24)), "·", bdRateExtend( S20:S24,AA20:AA24, AQ20:AQ24,AY20:AY24))</f>
        <v>2.4055868857181473E-2</v>
      </c>
      <c r="BV20" s="51">
        <f t="shared" si="20"/>
        <v>0.74775075940855018</v>
      </c>
      <c r="BW20" s="51">
        <f t="shared" si="15"/>
        <v>0.78922406110480758</v>
      </c>
      <c r="BX20" s="51">
        <f t="shared" si="15"/>
        <v>0.41197978040373107</v>
      </c>
      <c r="BY20" s="51">
        <f t="shared" si="16"/>
        <v>0.76848741025667888</v>
      </c>
      <c r="BZ20" s="55"/>
      <c r="CA20" s="51"/>
      <c r="CC20" s="57"/>
    </row>
    <row r="21" spans="1:84" outlineLevel="1" x14ac:dyDescent="0.15">
      <c r="A21" s="46"/>
      <c r="B21" s="46" t="s">
        <v>26</v>
      </c>
      <c r="C21" s="3" t="s">
        <v>145</v>
      </c>
      <c r="D21" s="46">
        <v>250602891</v>
      </c>
      <c r="E21" s="3">
        <v>10</v>
      </c>
      <c r="F21" s="3">
        <v>32</v>
      </c>
      <c r="G21" s="3">
        <v>50</v>
      </c>
      <c r="I21" s="4">
        <f t="shared" si="0"/>
        <v>7.5828249999999997</v>
      </c>
      <c r="J21" s="5">
        <f t="shared" si="1"/>
        <v>1.9365331264275001E-2</v>
      </c>
      <c r="K21" s="5">
        <f t="shared" si="2"/>
        <v>9.0187626766045567E-3</v>
      </c>
      <c r="L21" s="5">
        <f t="shared" si="3"/>
        <v>5.2271384211605128E-3</v>
      </c>
      <c r="M21" s="5">
        <f t="shared" si="4"/>
        <v>1.0346568587670442E-2</v>
      </c>
      <c r="N21" s="46">
        <f t="shared" si="5"/>
        <v>2260128</v>
      </c>
      <c r="O21" s="5">
        <v>-12</v>
      </c>
      <c r="P21" s="6">
        <v>31470210</v>
      </c>
      <c r="Q21" s="6">
        <v>983444.0625</v>
      </c>
      <c r="R21" s="6">
        <v>32994.5</v>
      </c>
      <c r="S21" s="7">
        <v>4853008</v>
      </c>
      <c r="T21" s="7">
        <v>1309936</v>
      </c>
      <c r="U21" s="7">
        <v>950192</v>
      </c>
      <c r="V21" s="7">
        <v>2592880</v>
      </c>
      <c r="W21" s="8">
        <v>68.687637499999994</v>
      </c>
      <c r="X21" s="8">
        <v>70.768968749999999</v>
      </c>
      <c r="Y21" s="8">
        <v>32.499071874999998</v>
      </c>
      <c r="Z21" s="8">
        <v>40.637934375</v>
      </c>
      <c r="AA21" s="8">
        <v>39.554534375000003</v>
      </c>
      <c r="AB21" s="9">
        <v>557.04</v>
      </c>
      <c r="AC21" s="9">
        <v>476.26299999999998</v>
      </c>
      <c r="AD21" s="9">
        <v>1871.19</v>
      </c>
      <c r="AE21" s="9">
        <v>11.061999999999999</v>
      </c>
      <c r="AG21" s="4">
        <f t="shared" si="6"/>
        <v>7.5120500000000003</v>
      </c>
      <c r="AH21" s="5">
        <f t="shared" si="7"/>
        <v>1.9184583149920643E-2</v>
      </c>
      <c r="AI21" s="5">
        <f t="shared" si="8"/>
        <v>9.0892167720443423E-3</v>
      </c>
      <c r="AJ21" s="5">
        <f t="shared" si="9"/>
        <v>5.2975925166002975E-3</v>
      </c>
      <c r="AK21" s="5">
        <f t="shared" si="10"/>
        <v>1.0095366377876303E-2</v>
      </c>
      <c r="AL21" s="46">
        <f t="shared" si="11"/>
        <v>2277784</v>
      </c>
      <c r="AM21" s="5">
        <v>-12</v>
      </c>
      <c r="AN21" s="6"/>
      <c r="AO21" s="6"/>
      <c r="AP21" s="6"/>
      <c r="AQ21" s="7">
        <v>4807712</v>
      </c>
      <c r="AR21" s="7">
        <v>1327592</v>
      </c>
      <c r="AS21" s="7">
        <v>950192</v>
      </c>
      <c r="AT21" s="7">
        <v>2529928</v>
      </c>
      <c r="AU21" s="8">
        <v>68.621162499999997</v>
      </c>
      <c r="AV21" s="8">
        <v>70.670793750000001</v>
      </c>
      <c r="AW21" s="8">
        <v>32.152934374999901</v>
      </c>
      <c r="AX21" s="8">
        <v>40.594759374999903</v>
      </c>
      <c r="AY21" s="8">
        <v>39.421878124999999</v>
      </c>
      <c r="AZ21" s="9">
        <v>149.76499999999999</v>
      </c>
      <c r="BA21" s="9">
        <v>123.9</v>
      </c>
      <c r="BB21" s="9">
        <v>1113.42</v>
      </c>
      <c r="BC21" s="9">
        <v>10.811999999999999</v>
      </c>
      <c r="BE21" s="44">
        <f t="shared" si="12"/>
        <v>1.007811946933979</v>
      </c>
      <c r="BF21" s="10" t="e">
        <f t="shared" si="13"/>
        <v>#DIV/0!</v>
      </c>
      <c r="BG21" s="10">
        <f t="shared" si="14"/>
        <v>8.0601987353608462E-3</v>
      </c>
      <c r="BH21" s="10"/>
      <c r="BJ21" s="44"/>
      <c r="BK21" s="44"/>
      <c r="BL21" s="44"/>
      <c r="BM21" s="44"/>
      <c r="BN21" s="44"/>
      <c r="BP21" s="44"/>
      <c r="BQ21" s="44"/>
      <c r="BR21" s="44"/>
      <c r="BS21" s="44"/>
      <c r="BT21" s="44"/>
      <c r="BV21" s="51">
        <f t="shared" si="20"/>
        <v>0.73114139020537128</v>
      </c>
      <c r="BW21" s="51">
        <f>(AC21-BA21)/AC21</f>
        <v>0.73984962090273643</v>
      </c>
      <c r="BX21" s="51">
        <f t="shared" si="20"/>
        <v>0.40496689272601927</v>
      </c>
      <c r="BY21" s="51">
        <f t="shared" si="16"/>
        <v>0.73549550555405385</v>
      </c>
      <c r="BZ21" s="55"/>
      <c r="CA21" s="51"/>
      <c r="CC21" s="57"/>
    </row>
    <row r="22" spans="1:84" outlineLevel="1" x14ac:dyDescent="0.15">
      <c r="A22" s="11"/>
      <c r="B22" s="11" t="s">
        <v>26</v>
      </c>
      <c r="C22" s="12" t="s">
        <v>146</v>
      </c>
      <c r="D22" s="11">
        <v>250602891</v>
      </c>
      <c r="E22" s="12">
        <v>10</v>
      </c>
      <c r="F22" s="12">
        <v>32</v>
      </c>
      <c r="G22" s="12">
        <v>50</v>
      </c>
      <c r="I22" s="13">
        <f t="shared" si="0"/>
        <v>12.3580875</v>
      </c>
      <c r="J22" s="14">
        <f t="shared" si="1"/>
        <v>3.1560593608634786E-2</v>
      </c>
      <c r="K22" s="14">
        <f t="shared" si="2"/>
        <v>1.1265089515667239E-2</v>
      </c>
      <c r="L22" s="14">
        <f t="shared" si="3"/>
        <v>7.4734652602231949E-3</v>
      </c>
      <c r="M22" s="14">
        <f t="shared" si="4"/>
        <v>2.0295504092967546E-2</v>
      </c>
      <c r="N22" s="11">
        <f t="shared" si="5"/>
        <v>2823064</v>
      </c>
      <c r="O22" s="14">
        <v>-12</v>
      </c>
      <c r="P22" s="15">
        <v>32774469</v>
      </c>
      <c r="Q22" s="15">
        <v>1024202.15625</v>
      </c>
      <c r="R22" s="15">
        <v>35190.1875</v>
      </c>
      <c r="S22" s="16">
        <v>7909176</v>
      </c>
      <c r="T22" s="16">
        <v>1872872</v>
      </c>
      <c r="U22" s="16">
        <v>950192</v>
      </c>
      <c r="V22" s="16">
        <v>5086112</v>
      </c>
      <c r="W22" s="17">
        <v>69.849543749999995</v>
      </c>
      <c r="X22" s="17">
        <v>72.244293749999898</v>
      </c>
      <c r="Y22" s="17">
        <v>34.215484375000003</v>
      </c>
      <c r="Z22" s="17">
        <v>41.679962499999903</v>
      </c>
      <c r="AA22" s="17">
        <v>40.578524999999999</v>
      </c>
      <c r="AB22" s="18">
        <v>586.04899999999998</v>
      </c>
      <c r="AC22" s="18">
        <v>501.37400000000002</v>
      </c>
      <c r="AD22" s="18">
        <v>1928.45</v>
      </c>
      <c r="AE22" s="18">
        <v>10.718</v>
      </c>
      <c r="AG22" s="13">
        <f t="shared" si="6"/>
        <v>12.511537499999999</v>
      </c>
      <c r="AH22" s="14">
        <f t="shared" si="7"/>
        <v>3.1952480548199262E-2</v>
      </c>
      <c r="AI22" s="14">
        <f t="shared" si="8"/>
        <v>1.1371137773506372E-2</v>
      </c>
      <c r="AJ22" s="14">
        <f t="shared" si="9"/>
        <v>7.5795135180623278E-3</v>
      </c>
      <c r="AK22" s="14">
        <f t="shared" si="10"/>
        <v>2.0581342774692892E-2</v>
      </c>
      <c r="AL22" s="11">
        <f t="shared" si="11"/>
        <v>2849640</v>
      </c>
      <c r="AM22" s="14">
        <v>-12</v>
      </c>
      <c r="AN22" s="15"/>
      <c r="AO22" s="15"/>
      <c r="AP22" s="15"/>
      <c r="AQ22" s="16">
        <v>8007384</v>
      </c>
      <c r="AR22" s="16">
        <v>1899448</v>
      </c>
      <c r="AS22" s="16">
        <v>950192</v>
      </c>
      <c r="AT22" s="16">
        <v>5157744</v>
      </c>
      <c r="AU22" s="17">
        <v>69.768306249999995</v>
      </c>
      <c r="AV22" s="17">
        <v>72.126653124999905</v>
      </c>
      <c r="AW22" s="17">
        <v>34.1766875</v>
      </c>
      <c r="AX22" s="17">
        <v>41.656553124999903</v>
      </c>
      <c r="AY22" s="17">
        <v>40.565206249999903</v>
      </c>
      <c r="AZ22" s="18">
        <v>170.029</v>
      </c>
      <c r="BA22" s="18">
        <v>180.18</v>
      </c>
      <c r="BB22" s="18">
        <v>1192.83</v>
      </c>
      <c r="BC22" s="18">
        <v>10.795999999999999</v>
      </c>
      <c r="BE22" s="43">
        <f t="shared" si="12"/>
        <v>1.0094138850553867</v>
      </c>
      <c r="BF22" s="19" t="e">
        <f t="shared" si="13"/>
        <v>#DIV/0!</v>
      </c>
      <c r="BG22" s="19">
        <f t="shared" si="14"/>
        <v>-1.0587603388925726E-3</v>
      </c>
      <c r="BH22" s="19"/>
      <c r="BJ22" s="43"/>
      <c r="BK22" s="43"/>
      <c r="BL22" s="43"/>
      <c r="BM22" s="43"/>
      <c r="BN22" s="43"/>
      <c r="BP22" s="43"/>
      <c r="BQ22" s="43"/>
      <c r="BR22" s="43"/>
      <c r="BS22" s="43"/>
      <c r="BT22" s="43"/>
      <c r="BV22" s="51">
        <f t="shared" si="20"/>
        <v>0.7098723826847243</v>
      </c>
      <c r="BW22" s="51">
        <f t="shared" si="20"/>
        <v>0.64062755547754768</v>
      </c>
      <c r="BX22" s="51">
        <f t="shared" si="20"/>
        <v>0.38145661023101457</v>
      </c>
      <c r="BY22" s="51">
        <f t="shared" si="16"/>
        <v>0.67524996908113599</v>
      </c>
      <c r="BZ22" s="55"/>
      <c r="CA22" s="51"/>
      <c r="CC22" s="57"/>
    </row>
    <row r="23" spans="1:84" outlineLevel="1" x14ac:dyDescent="0.15">
      <c r="A23" s="46"/>
      <c r="B23" s="46" t="s">
        <v>26</v>
      </c>
      <c r="C23" s="3" t="s">
        <v>147</v>
      </c>
      <c r="D23" s="46">
        <v>250602891</v>
      </c>
      <c r="E23" s="3">
        <v>10</v>
      </c>
      <c r="F23" s="3">
        <v>32</v>
      </c>
      <c r="G23" s="3">
        <v>50</v>
      </c>
      <c r="I23" s="4">
        <f t="shared" si="0"/>
        <v>22.005125</v>
      </c>
      <c r="J23" s="5">
        <f t="shared" si="1"/>
        <v>5.619759590083899E-2</v>
      </c>
      <c r="K23" s="5">
        <f t="shared" si="2"/>
        <v>1.5193503892977835E-2</v>
      </c>
      <c r="L23" s="5">
        <f t="shared" si="3"/>
        <v>1.140187963753379E-2</v>
      </c>
      <c r="M23" s="5">
        <f t="shared" si="4"/>
        <v>4.1004092007861155E-2</v>
      </c>
      <c r="N23" s="46">
        <f t="shared" si="5"/>
        <v>3807536</v>
      </c>
      <c r="O23" s="5">
        <v>-12</v>
      </c>
      <c r="P23" s="6">
        <v>32769151</v>
      </c>
      <c r="Q23" s="6">
        <v>1024035.96875</v>
      </c>
      <c r="R23" s="6">
        <v>36890.875</v>
      </c>
      <c r="S23" s="7">
        <v>14083280</v>
      </c>
      <c r="T23" s="7">
        <v>2857344</v>
      </c>
      <c r="U23" s="7">
        <v>950192</v>
      </c>
      <c r="V23" s="7">
        <v>10275744</v>
      </c>
      <c r="W23" s="8">
        <v>70.891781249999894</v>
      </c>
      <c r="X23" s="8">
        <v>73.621353124999999</v>
      </c>
      <c r="Y23" s="8">
        <v>35.690490625000002</v>
      </c>
      <c r="Z23" s="8">
        <v>42.822521875</v>
      </c>
      <c r="AA23" s="8">
        <v>41.617903124999998</v>
      </c>
      <c r="AB23" s="9">
        <v>633.92999999999995</v>
      </c>
      <c r="AC23" s="9">
        <v>544.75</v>
      </c>
      <c r="AD23" s="9">
        <v>2017</v>
      </c>
      <c r="AE23" s="9">
        <v>10.656000000000001</v>
      </c>
      <c r="AG23" s="4">
        <f t="shared" si="6"/>
        <v>22.138425000000002</v>
      </c>
      <c r="AH23" s="5">
        <f t="shared" si="7"/>
        <v>5.6538022939248533E-2</v>
      </c>
      <c r="AI23" s="5">
        <f t="shared" si="8"/>
        <v>1.5377827385079926E-2</v>
      </c>
      <c r="AJ23" s="5">
        <f t="shared" si="9"/>
        <v>1.1586203129635883E-2</v>
      </c>
      <c r="AK23" s="5">
        <f t="shared" si="10"/>
        <v>4.1160195554168603E-2</v>
      </c>
      <c r="AL23" s="46">
        <f t="shared" si="11"/>
        <v>3853728</v>
      </c>
      <c r="AM23" s="5">
        <v>-12</v>
      </c>
      <c r="AN23" s="6"/>
      <c r="AO23" s="6"/>
      <c r="AP23" s="6"/>
      <c r="AQ23" s="7">
        <v>14168592</v>
      </c>
      <c r="AR23" s="7">
        <v>2903536</v>
      </c>
      <c r="AS23" s="7">
        <v>950192</v>
      </c>
      <c r="AT23" s="7">
        <v>10314864</v>
      </c>
      <c r="AU23" s="8">
        <v>70.875315624999999</v>
      </c>
      <c r="AV23" s="8">
        <v>73.6054125</v>
      </c>
      <c r="AW23" s="8">
        <v>35.656256249999899</v>
      </c>
      <c r="AX23" s="8">
        <v>42.832524999999997</v>
      </c>
      <c r="AY23" s="8">
        <v>41.63018125</v>
      </c>
      <c r="AZ23" s="9">
        <v>245.26400000000001</v>
      </c>
      <c r="BA23" s="9">
        <v>238.684</v>
      </c>
      <c r="BB23" s="9">
        <v>1326.23</v>
      </c>
      <c r="BC23" s="9">
        <v>10.827999999999999</v>
      </c>
      <c r="BE23" s="44">
        <f t="shared" si="12"/>
        <v>1.0121317303368897</v>
      </c>
      <c r="BF23" s="10" t="e">
        <f t="shared" si="13"/>
        <v>#DIV/0!</v>
      </c>
      <c r="BG23" s="10">
        <f t="shared" si="14"/>
        <v>1.6322840190624022E-3</v>
      </c>
      <c r="BH23" s="10"/>
      <c r="BJ23" s="44"/>
      <c r="BK23" s="44"/>
      <c r="BL23" s="44"/>
      <c r="BM23" s="44"/>
      <c r="BN23" s="44"/>
      <c r="BP23" s="44"/>
      <c r="BQ23" s="44"/>
      <c r="BR23" s="44"/>
      <c r="BS23" s="44"/>
      <c r="BT23" s="44"/>
      <c r="BV23" s="51">
        <f t="shared" si="20"/>
        <v>0.61310554793115957</v>
      </c>
      <c r="BW23" s="51">
        <f t="shared" si="20"/>
        <v>0.56184671867829283</v>
      </c>
      <c r="BX23" s="51">
        <f t="shared" si="20"/>
        <v>0.34247397124442241</v>
      </c>
      <c r="BY23" s="51">
        <f t="shared" si="16"/>
        <v>0.58747613330472626</v>
      </c>
      <c r="BZ23" s="55"/>
      <c r="CA23" s="51"/>
      <c r="CC23" s="57"/>
    </row>
    <row r="24" spans="1:84" ht="14.25" outlineLevel="1" thickBot="1" x14ac:dyDescent="0.2">
      <c r="A24" s="30"/>
      <c r="B24" s="30" t="s">
        <v>26</v>
      </c>
      <c r="C24" s="31" t="s">
        <v>148</v>
      </c>
      <c r="D24" s="30">
        <v>250602891</v>
      </c>
      <c r="E24" s="31">
        <v>10</v>
      </c>
      <c r="F24" s="31">
        <v>32</v>
      </c>
      <c r="G24" s="31">
        <v>50</v>
      </c>
      <c r="I24" s="32">
        <f t="shared" si="0"/>
        <v>38.627387499999998</v>
      </c>
      <c r="J24" s="33">
        <f t="shared" si="1"/>
        <v>9.8648215514800269E-2</v>
      </c>
      <c r="K24" s="33">
        <f t="shared" si="2"/>
        <v>2.5280761824890519E-2</v>
      </c>
      <c r="L24" s="33">
        <f t="shared" si="3"/>
        <v>1.7958835119743291E-2</v>
      </c>
      <c r="M24" s="33">
        <f t="shared" si="4"/>
        <v>7.336745368990974E-2</v>
      </c>
      <c r="N24" s="30">
        <f t="shared" si="5"/>
        <v>6335432</v>
      </c>
      <c r="O24" s="33">
        <v>-12</v>
      </c>
      <c r="P24" s="34">
        <v>31405837</v>
      </c>
      <c r="Q24" s="34">
        <v>981432.40625</v>
      </c>
      <c r="R24" s="34">
        <v>18371.09375</v>
      </c>
      <c r="S24" s="35">
        <v>24721528</v>
      </c>
      <c r="T24" s="35">
        <v>4500536</v>
      </c>
      <c r="U24" s="35">
        <v>1834896</v>
      </c>
      <c r="V24" s="35">
        <v>18386096</v>
      </c>
      <c r="W24" s="36">
        <v>71.729621874999907</v>
      </c>
      <c r="X24" s="36">
        <v>75.643156249999905</v>
      </c>
      <c r="Y24" s="36">
        <v>36.543587500000001</v>
      </c>
      <c r="Z24" s="36">
        <v>43.589959374999999</v>
      </c>
      <c r="AA24" s="36">
        <v>42.051628125000001</v>
      </c>
      <c r="AB24" s="37">
        <v>679.25900000000001</v>
      </c>
      <c r="AC24" s="37">
        <v>624.96</v>
      </c>
      <c r="AD24" s="37">
        <v>2170.64</v>
      </c>
      <c r="AE24" s="37">
        <v>11.045999999999999</v>
      </c>
      <c r="AG24" s="32">
        <f t="shared" si="6"/>
        <v>38.957562500000002</v>
      </c>
      <c r="AH24" s="33">
        <f t="shared" si="7"/>
        <v>9.9491430048985349E-2</v>
      </c>
      <c r="AI24" s="33">
        <f t="shared" si="8"/>
        <v>2.5390002384290133E-2</v>
      </c>
      <c r="AJ24" s="33">
        <f t="shared" si="9"/>
        <v>1.8068075679142905E-2</v>
      </c>
      <c r="AK24" s="33">
        <f t="shared" si="10"/>
        <v>7.4101427664695213E-2</v>
      </c>
      <c r="AL24" s="30">
        <f t="shared" si="11"/>
        <v>6362808</v>
      </c>
      <c r="AM24" s="33">
        <v>-12</v>
      </c>
      <c r="AN24" s="34"/>
      <c r="AO24" s="34"/>
      <c r="AP24" s="34"/>
      <c r="AQ24" s="35">
        <v>24932840</v>
      </c>
      <c r="AR24" s="35">
        <v>4527912</v>
      </c>
      <c r="AS24" s="35">
        <v>1834896</v>
      </c>
      <c r="AT24" s="35">
        <v>18570032</v>
      </c>
      <c r="AU24" s="36">
        <v>71.718621874999897</v>
      </c>
      <c r="AV24" s="36">
        <v>75.615118749999993</v>
      </c>
      <c r="AW24" s="36">
        <v>36.545415624999997</v>
      </c>
      <c r="AX24" s="36">
        <v>43.601218750000001</v>
      </c>
      <c r="AY24" s="36">
        <v>42.073956250000002</v>
      </c>
      <c r="AZ24" s="37">
        <v>351.19900000000001</v>
      </c>
      <c r="BA24" s="37">
        <v>333.78399999999999</v>
      </c>
      <c r="BB24" s="37">
        <v>1543.08</v>
      </c>
      <c r="BC24" s="37">
        <v>10.827999999999999</v>
      </c>
      <c r="BE24" s="38">
        <f t="shared" si="12"/>
        <v>1.0043210944415473</v>
      </c>
      <c r="BF24" s="39" t="e">
        <f t="shared" si="13"/>
        <v>#DIV/0!</v>
      </c>
      <c r="BG24" s="39">
        <f t="shared" si="14"/>
        <v>-1.0739779182790676E-3</v>
      </c>
      <c r="BH24" s="39"/>
      <c r="BJ24" s="38"/>
      <c r="BK24" s="38"/>
      <c r="BL24" s="38"/>
      <c r="BM24" s="38"/>
      <c r="BN24" s="38"/>
      <c r="BP24" s="38"/>
      <c r="BQ24" s="38"/>
      <c r="BR24" s="38"/>
      <c r="BS24" s="38"/>
      <c r="BT24" s="38"/>
      <c r="BV24" s="52">
        <f>(AB24-AZ24)/AB24</f>
        <v>0.48296746896250176</v>
      </c>
      <c r="BW24" s="52">
        <f t="shared" si="20"/>
        <v>0.46591141833077321</v>
      </c>
      <c r="BX24" s="52">
        <f t="shared" si="20"/>
        <v>0.28911288836472193</v>
      </c>
      <c r="BY24" s="52">
        <f t="shared" si="16"/>
        <v>0.47443944364663748</v>
      </c>
      <c r="BZ24" s="55">
        <f>AVERAGE(BV20:BV24)</f>
        <v>0.65696750983846131</v>
      </c>
      <c r="CA24" s="51">
        <f>AVERAGE(BW20:BW24)</f>
        <v>0.63949187489883164</v>
      </c>
      <c r="CB24" s="51">
        <f>AVERAGE(BX20:BX24)</f>
        <v>0.36599802859398184</v>
      </c>
      <c r="CC24" s="58">
        <f>AVERAGE(BY20:BY24)</f>
        <v>0.64822969236864647</v>
      </c>
      <c r="CD24" s="51">
        <f t="shared" ref="CD24:CE24" si="24">(SUM(AB20:AB24)-SUM(AZ20:AZ24))/SUM(AB20:AB24)</f>
        <v>0.64799148291100972</v>
      </c>
      <c r="CE24" s="51">
        <f t="shared" si="24"/>
        <v>0.62663394964119556</v>
      </c>
      <c r="CF24" s="51">
        <f>(SUM(AB20:AC24)-SUM(AZ20:BA24))/SUM(AB20:AC24)</f>
        <v>0.63801372286759384</v>
      </c>
    </row>
    <row r="25" spans="1:84" x14ac:dyDescent="0.15">
      <c r="A25" s="46" t="s">
        <v>149</v>
      </c>
      <c r="B25" s="46" t="s">
        <v>27</v>
      </c>
      <c r="C25" s="3" t="s">
        <v>144</v>
      </c>
      <c r="D25" s="46">
        <v>250294582</v>
      </c>
      <c r="E25" s="3">
        <v>10</v>
      </c>
      <c r="F25" s="3">
        <v>32</v>
      </c>
      <c r="G25" s="3">
        <v>30</v>
      </c>
      <c r="I25" s="4">
        <f t="shared" si="0"/>
        <v>4.3608675000000003</v>
      </c>
      <c r="J25" s="5">
        <f t="shared" si="1"/>
        <v>1.8584469399341611E-2</v>
      </c>
      <c r="K25" s="5">
        <f t="shared" si="2"/>
        <v>6.4496481989370427E-3</v>
      </c>
      <c r="L25" s="5">
        <f t="shared" si="3"/>
        <v>3.6966041877806209E-3</v>
      </c>
      <c r="M25" s="5">
        <f t="shared" si="4"/>
        <v>1.213482120040457E-2</v>
      </c>
      <c r="N25" s="46">
        <f t="shared" si="5"/>
        <v>1614312</v>
      </c>
      <c r="O25" s="5">
        <v>-12</v>
      </c>
      <c r="P25" s="6">
        <v>23148086</v>
      </c>
      <c r="Q25" s="6">
        <v>723377.6875</v>
      </c>
      <c r="R25" s="6">
        <v>13979.90625</v>
      </c>
      <c r="S25" s="7">
        <v>4651592</v>
      </c>
      <c r="T25" s="7">
        <v>925240</v>
      </c>
      <c r="U25" s="7">
        <v>689072</v>
      </c>
      <c r="V25" s="7">
        <v>3037280</v>
      </c>
      <c r="W25" s="8">
        <v>66.202731249999999</v>
      </c>
      <c r="X25" s="8">
        <v>67.991668750000002</v>
      </c>
      <c r="Y25" s="8">
        <v>27.334187499999999</v>
      </c>
      <c r="Z25" s="8">
        <v>33.179340624999902</v>
      </c>
      <c r="AA25" s="8">
        <v>32.601890624999903</v>
      </c>
      <c r="AB25" s="9">
        <v>465.16699999999997</v>
      </c>
      <c r="AC25" s="9">
        <v>439.43200000000002</v>
      </c>
      <c r="AD25" s="9">
        <v>1346.13</v>
      </c>
      <c r="AE25" s="9">
        <v>10.234</v>
      </c>
      <c r="AG25" s="4">
        <f t="shared" si="6"/>
        <v>4.3595174999999999</v>
      </c>
      <c r="AH25" s="5">
        <f t="shared" si="7"/>
        <v>1.8578716178522792E-2</v>
      </c>
      <c r="AI25" s="5">
        <f t="shared" si="8"/>
        <v>6.4846789212560738E-3</v>
      </c>
      <c r="AJ25" s="5">
        <f t="shared" si="9"/>
        <v>3.7316349100996521E-3</v>
      </c>
      <c r="AK25" s="5">
        <f t="shared" si="10"/>
        <v>1.209403725726672E-2</v>
      </c>
      <c r="AL25" s="46">
        <f t="shared" si="11"/>
        <v>1623080</v>
      </c>
      <c r="AM25" s="5">
        <v>-12</v>
      </c>
      <c r="AN25" s="6"/>
      <c r="AO25" s="6"/>
      <c r="AP25" s="6"/>
      <c r="AQ25" s="7">
        <v>4650152</v>
      </c>
      <c r="AR25" s="7">
        <v>934008</v>
      </c>
      <c r="AS25" s="7">
        <v>689072</v>
      </c>
      <c r="AT25" s="7">
        <v>3027072</v>
      </c>
      <c r="AU25" s="8">
        <v>66.183071874999996</v>
      </c>
      <c r="AV25" s="8">
        <v>67.908359375000003</v>
      </c>
      <c r="AW25" s="8">
        <v>27.26985625</v>
      </c>
      <c r="AX25" s="8">
        <v>33.124787499999996</v>
      </c>
      <c r="AY25" s="8">
        <v>32.501446874999999</v>
      </c>
      <c r="AZ25" s="9">
        <v>117.30200000000001</v>
      </c>
      <c r="BA25" s="9">
        <v>102.59399999999999</v>
      </c>
      <c r="BB25" s="9">
        <v>658.06200000000001</v>
      </c>
      <c r="BC25" s="9">
        <v>10.343</v>
      </c>
      <c r="BE25" s="44">
        <f t="shared" si="12"/>
        <v>1.005431415984023</v>
      </c>
      <c r="BF25" s="10" t="e">
        <f t="shared" si="13"/>
        <v>#DIV/0!</v>
      </c>
      <c r="BG25" s="10">
        <f t="shared" si="14"/>
        <v>1.9929982673130842E-3</v>
      </c>
      <c r="BH25" s="10">
        <f t="array" ref="BH25">AVERAGE(AL25:AL29/AQ25:AQ29) - AVERAGE(N25:N29/S25:S29)</f>
        <v>1.3744116073556578E-3</v>
      </c>
      <c r="BJ25" s="44">
        <f>IF( OR(ISBLANK(N25:N29),ISBLANK(AL25:AL29), ISBLANK(W25:W29),ISBLANK(AU25:AU29)), "·", bdRateExtend( N25:N29,W25:W29, AL25:AL29,AU25:AU29))</f>
        <v>1.387654197322119E-2</v>
      </c>
      <c r="BK25" s="44">
        <f>IF( OR(ISBLANK(N25:N29),ISBLANK(AL25:AL29), ISBLANK(X25:X29),ISBLANK(AV25:AV29)), "·", bdRateExtend( N25:N29,X25:X29, AL25:AL29,AV25:AV29))</f>
        <v>2.0729944803891343E-2</v>
      </c>
      <c r="BL25" s="44">
        <f>IF( OR(ISBLANK(V25:V29),ISBLANK(AT25:AT29), ISBLANK(Y25:Y29),ISBLANK(AW25:AW29)), "·", bdRateExtend( V25:V29,Y25:Y29, AT25:AT29,AW25:AW29))</f>
        <v>1.2448665223594224E-2</v>
      </c>
      <c r="BM25" s="44">
        <f>IF( OR(ISBLANK(V25:V29),ISBLANK(AT25:AT29), ISBLANK(Z25:Z29),ISBLANK(AX25:AX29)), "·", bdRateExtend( V25:V29,Z25:Z29, AT25:AT29,AX25:AX29))</f>
        <v>1.3093782923778052E-2</v>
      </c>
      <c r="BN25" s="44">
        <f>IF( OR(ISBLANK(V25:V29),ISBLANK(AT25:AT29), ISBLANK(AA25:AA29),ISBLANK(AY25:AY29)), "·", bdRateExtend( V25:V29,AA25:AA29, AT25:AT29,AY25:AY29))</f>
        <v>1.8812420185985612E-2</v>
      </c>
      <c r="BP25" s="44">
        <f>IF( OR(ISBLANK(S25:S29),ISBLANK(AQ25:AQ29), ISBLANK(W25:W29),ISBLANK(AU25:AU29)), "·", bdRateExtend( S25:S29,W25:W29, AQ25:AQ29,AU25:AU29))</f>
        <v>1.2134268961732309E-2</v>
      </c>
      <c r="BQ25" s="44">
        <f>IF( OR(ISBLANK(S25:S29),ISBLANK(AQ25:AQ29), ISBLANK(X25:X29),ISBLANK(AV25:AV29)), "·", bdRateExtend( S25:S29,X25:X29, AQ25:AQ29,AV25:AV29))</f>
        <v>2.6566429240605816E-2</v>
      </c>
      <c r="BR25" s="44">
        <f>IF( OR(ISBLANK(S25:S29),ISBLANK(AQ25:AQ29), ISBLANK(Y25:Y29),ISBLANK(AW25:AW29)), "·", bdRateExtend( S25:S29,Y25:Y29, AQ25:AQ29,AW25:AW29))</f>
        <v>1.2359111439551818E-2</v>
      </c>
      <c r="BS25" s="44">
        <f>IF( OR(ISBLANK(S25:S29),ISBLANK(AQ25:AQ29), ISBLANK(Z25:Z29),ISBLANK(AX25:AX29)), "·", bdRateExtend( S25:S29,Z25:Z29, AQ25:AQ29,AX25:AX29))</f>
        <v>1.2706310491876538E-2</v>
      </c>
      <c r="BT25" s="44">
        <f>IF( OR(ISBLANK(S25:S29),ISBLANK(AQ25:AQ29), ISBLANK(AA25:AA29),ISBLANK(AY25:AY29)), "·", bdRateExtend( S25:S29,AA25:AA29, AQ25:AQ29,AY25:AY29))</f>
        <v>1.7404711122167571E-2</v>
      </c>
      <c r="BV25" s="51">
        <f t="shared" ref="BV25:BX39" si="25">(AB25-AZ25)/AB25</f>
        <v>0.74782819933486244</v>
      </c>
      <c r="BW25" s="51">
        <f t="shared" si="20"/>
        <v>0.76653043019170208</v>
      </c>
      <c r="BX25" s="51">
        <f t="shared" si="20"/>
        <v>0.51114528314501573</v>
      </c>
      <c r="BY25" s="51">
        <f t="shared" si="16"/>
        <v>0.75717931476328226</v>
      </c>
      <c r="BZ25" s="55"/>
      <c r="CA25" s="51"/>
      <c r="CC25" s="57"/>
    </row>
    <row r="26" spans="1:84" outlineLevel="1" x14ac:dyDescent="0.15">
      <c r="A26" s="11"/>
      <c r="B26" s="11" t="s">
        <v>27</v>
      </c>
      <c r="C26" s="12" t="s">
        <v>145</v>
      </c>
      <c r="D26" s="11">
        <v>250294582</v>
      </c>
      <c r="E26" s="12">
        <v>10</v>
      </c>
      <c r="F26" s="12">
        <v>32</v>
      </c>
      <c r="G26" s="12">
        <v>30</v>
      </c>
      <c r="I26" s="13">
        <f t="shared" si="0"/>
        <v>7.4916749999999999</v>
      </c>
      <c r="J26" s="14">
        <f t="shared" si="1"/>
        <v>3.192685968727841E-2</v>
      </c>
      <c r="K26" s="14">
        <f t="shared" si="2"/>
        <v>7.9828495848144245E-3</v>
      </c>
      <c r="L26" s="14">
        <f t="shared" si="3"/>
        <v>5.2298055736580027E-3</v>
      </c>
      <c r="M26" s="14">
        <f t="shared" si="4"/>
        <v>2.3944010102463983E-2</v>
      </c>
      <c r="N26" s="11">
        <f t="shared" si="5"/>
        <v>1998064</v>
      </c>
      <c r="O26" s="14">
        <v>-12</v>
      </c>
      <c r="P26" s="15">
        <v>24596617</v>
      </c>
      <c r="Q26" s="15">
        <v>768644.28125</v>
      </c>
      <c r="R26" s="15">
        <v>17690.84375</v>
      </c>
      <c r="S26" s="16">
        <v>7991120</v>
      </c>
      <c r="T26" s="16">
        <v>1308992</v>
      </c>
      <c r="U26" s="16">
        <v>689072</v>
      </c>
      <c r="V26" s="16">
        <v>5993056</v>
      </c>
      <c r="W26" s="17">
        <v>67.955109375000006</v>
      </c>
      <c r="X26" s="17">
        <v>69.951062499999907</v>
      </c>
      <c r="Y26" s="17">
        <v>29.714649999999999</v>
      </c>
      <c r="Z26" s="17">
        <v>34.343318750000002</v>
      </c>
      <c r="AA26" s="17">
        <v>33.888874999999999</v>
      </c>
      <c r="AB26" s="18">
        <v>497.53</v>
      </c>
      <c r="AC26" s="18">
        <v>454.13099999999997</v>
      </c>
      <c r="AD26" s="18">
        <v>1392.09</v>
      </c>
      <c r="AE26" s="18">
        <v>10.343</v>
      </c>
      <c r="AG26" s="13">
        <f t="shared" si="6"/>
        <v>7.5104699999999998</v>
      </c>
      <c r="AH26" s="14">
        <f t="shared" si="7"/>
        <v>3.2006957306011524E-2</v>
      </c>
      <c r="AI26" s="14">
        <f t="shared" si="8"/>
        <v>8.0391352618252032E-3</v>
      </c>
      <c r="AJ26" s="14">
        <f t="shared" si="9"/>
        <v>5.2860912506687823E-3</v>
      </c>
      <c r="AK26" s="14">
        <f t="shared" si="10"/>
        <v>2.3967822044186318E-2</v>
      </c>
      <c r="AL26" s="11">
        <f t="shared" si="11"/>
        <v>2012152</v>
      </c>
      <c r="AM26" s="14">
        <v>-12</v>
      </c>
      <c r="AN26" s="15"/>
      <c r="AO26" s="15"/>
      <c r="AP26" s="15"/>
      <c r="AQ26" s="16">
        <v>8011168</v>
      </c>
      <c r="AR26" s="16">
        <v>1323080</v>
      </c>
      <c r="AS26" s="16">
        <v>689072</v>
      </c>
      <c r="AT26" s="16">
        <v>5999016</v>
      </c>
      <c r="AU26" s="17">
        <v>67.911024999999995</v>
      </c>
      <c r="AV26" s="17">
        <v>69.832374999999999</v>
      </c>
      <c r="AW26" s="17">
        <v>29.611562499999899</v>
      </c>
      <c r="AX26" s="17">
        <v>34.268393750000001</v>
      </c>
      <c r="AY26" s="17">
        <v>33.789246875000003</v>
      </c>
      <c r="AZ26" s="18">
        <v>136.40100000000001</v>
      </c>
      <c r="BA26" s="18">
        <v>125.964</v>
      </c>
      <c r="BB26" s="18">
        <v>705.95299999999997</v>
      </c>
      <c r="BC26" s="18">
        <v>10.25</v>
      </c>
      <c r="BE26" s="43">
        <f t="shared" si="12"/>
        <v>1.0070508251987924</v>
      </c>
      <c r="BF26" s="19" t="e">
        <f t="shared" si="13"/>
        <v>#DIV/0!</v>
      </c>
      <c r="BG26" s="19">
        <f t="shared" si="14"/>
        <v>1.13282950814797E-3</v>
      </c>
      <c r="BH26" s="19"/>
      <c r="BJ26" s="43"/>
      <c r="BK26" s="43"/>
      <c r="BL26" s="43"/>
      <c r="BM26" s="43"/>
      <c r="BN26" s="43"/>
      <c r="BP26" s="43"/>
      <c r="BQ26" s="43"/>
      <c r="BR26" s="43"/>
      <c r="BS26" s="43"/>
      <c r="BT26" s="43"/>
      <c r="BV26" s="51">
        <f t="shared" si="25"/>
        <v>0.72584366771852948</v>
      </c>
      <c r="BW26" s="51">
        <f t="shared" si="20"/>
        <v>0.72262629065181627</v>
      </c>
      <c r="BX26" s="51">
        <f t="shared" si="20"/>
        <v>0.49288264408191995</v>
      </c>
      <c r="BY26" s="51">
        <f t="shared" si="16"/>
        <v>0.72423497918517288</v>
      </c>
      <c r="BZ26" s="55"/>
      <c r="CA26" s="51"/>
      <c r="CC26" s="57"/>
    </row>
    <row r="27" spans="1:84" outlineLevel="1" x14ac:dyDescent="0.15">
      <c r="A27" s="46"/>
      <c r="B27" s="46" t="s">
        <v>27</v>
      </c>
      <c r="C27" s="3" t="s">
        <v>146</v>
      </c>
      <c r="D27" s="46">
        <v>250294582</v>
      </c>
      <c r="E27" s="3">
        <v>10</v>
      </c>
      <c r="F27" s="3">
        <v>32</v>
      </c>
      <c r="G27" s="3">
        <v>30</v>
      </c>
      <c r="I27" s="4">
        <f t="shared" si="0"/>
        <v>13.183875</v>
      </c>
      <c r="J27" s="5">
        <f t="shared" si="1"/>
        <v>5.6184995646449909E-2</v>
      </c>
      <c r="K27" s="5">
        <f t="shared" si="2"/>
        <v>1.028832497860461E-2</v>
      </c>
      <c r="L27" s="5">
        <f t="shared" si="3"/>
        <v>7.5352809674481885E-3</v>
      </c>
      <c r="M27" s="5">
        <f t="shared" si="4"/>
        <v>4.58966706678453E-2</v>
      </c>
      <c r="N27" s="46">
        <f t="shared" si="5"/>
        <v>2575112</v>
      </c>
      <c r="O27" s="5">
        <v>-12</v>
      </c>
      <c r="P27" s="6">
        <v>24867879</v>
      </c>
      <c r="Q27" s="6">
        <v>777121.21875</v>
      </c>
      <c r="R27" s="6">
        <v>18587.625</v>
      </c>
      <c r="S27" s="7">
        <v>14062800</v>
      </c>
      <c r="T27" s="7">
        <v>1886040</v>
      </c>
      <c r="U27" s="7">
        <v>689072</v>
      </c>
      <c r="V27" s="7">
        <v>11487688</v>
      </c>
      <c r="W27" s="8">
        <v>69.271965624999893</v>
      </c>
      <c r="X27" s="8">
        <v>71.647043749999995</v>
      </c>
      <c r="Y27" s="8">
        <v>32.215471874999999</v>
      </c>
      <c r="Z27" s="8">
        <v>35.579521874999998</v>
      </c>
      <c r="AA27" s="8">
        <v>35.207475000000002</v>
      </c>
      <c r="AB27" s="9">
        <v>528.10500000000002</v>
      </c>
      <c r="AC27" s="9">
        <v>490.21199999999999</v>
      </c>
      <c r="AD27" s="9">
        <v>1456.08</v>
      </c>
      <c r="AE27" s="9">
        <v>10.327999999999999</v>
      </c>
      <c r="AG27" s="4">
        <f t="shared" si="6"/>
        <v>13.2105525</v>
      </c>
      <c r="AH27" s="5">
        <f t="shared" si="7"/>
        <v>5.6298685682297352E-2</v>
      </c>
      <c r="AI27" s="5">
        <f t="shared" si="8"/>
        <v>1.0414927798956511E-2</v>
      </c>
      <c r="AJ27" s="5">
        <f t="shared" si="9"/>
        <v>7.6618837878000895E-3</v>
      </c>
      <c r="AK27" s="5">
        <f t="shared" si="10"/>
        <v>4.5883757883340842E-2</v>
      </c>
      <c r="AL27" s="46">
        <f t="shared" si="11"/>
        <v>2606800</v>
      </c>
      <c r="AM27" s="5">
        <v>-12</v>
      </c>
      <c r="AN27" s="6"/>
      <c r="AO27" s="6"/>
      <c r="AP27" s="6"/>
      <c r="AQ27" s="7">
        <v>14091256</v>
      </c>
      <c r="AR27" s="7">
        <v>1917728</v>
      </c>
      <c r="AS27" s="7">
        <v>689072</v>
      </c>
      <c r="AT27" s="7">
        <v>11484456</v>
      </c>
      <c r="AU27" s="8">
        <v>69.256159374999996</v>
      </c>
      <c r="AV27" s="8">
        <v>71.530221874999995</v>
      </c>
      <c r="AW27" s="8">
        <v>32.197478125000004</v>
      </c>
      <c r="AX27" s="8">
        <v>35.580759375</v>
      </c>
      <c r="AY27" s="8">
        <v>35.19899375</v>
      </c>
      <c r="AZ27" s="9">
        <v>158.315</v>
      </c>
      <c r="BA27" s="9">
        <v>217.08799999999999</v>
      </c>
      <c r="BB27" s="9">
        <v>817.85900000000004</v>
      </c>
      <c r="BC27" s="9">
        <v>10.406000000000001</v>
      </c>
      <c r="BE27" s="44">
        <f t="shared" si="12"/>
        <v>1.012305484188649</v>
      </c>
      <c r="BF27" s="10" t="e">
        <f t="shared" si="13"/>
        <v>#DIV/0!</v>
      </c>
      <c r="BG27" s="10">
        <f t="shared" si="14"/>
        <v>1.878986142053618E-3</v>
      </c>
      <c r="BH27" s="10"/>
      <c r="BJ27" s="44"/>
      <c r="BK27" s="44"/>
      <c r="BL27" s="44"/>
      <c r="BM27" s="44"/>
      <c r="BN27" s="44"/>
      <c r="BP27" s="44"/>
      <c r="BQ27" s="44"/>
      <c r="BR27" s="44"/>
      <c r="BS27" s="44"/>
      <c r="BT27" s="44"/>
      <c r="BV27" s="51">
        <f t="shared" si="25"/>
        <v>0.70022060007006182</v>
      </c>
      <c r="BW27" s="51">
        <f t="shared" si="20"/>
        <v>0.55715486361002997</v>
      </c>
      <c r="BX27" s="51">
        <f t="shared" si="20"/>
        <v>0.43831451568595126</v>
      </c>
      <c r="BY27" s="51">
        <f t="shared" si="16"/>
        <v>0.62868773184004589</v>
      </c>
      <c r="BZ27" s="55"/>
      <c r="CA27" s="51"/>
      <c r="CC27" s="57"/>
    </row>
    <row r="28" spans="1:84" outlineLevel="1" x14ac:dyDescent="0.15">
      <c r="A28" s="11"/>
      <c r="B28" s="11" t="s">
        <v>27</v>
      </c>
      <c r="C28" s="12" t="s">
        <v>147</v>
      </c>
      <c r="D28" s="11">
        <v>250294582</v>
      </c>
      <c r="E28" s="12">
        <v>10</v>
      </c>
      <c r="F28" s="12">
        <v>32</v>
      </c>
      <c r="G28" s="12">
        <v>30</v>
      </c>
      <c r="I28" s="13">
        <f t="shared" si="0"/>
        <v>24.458400000000001</v>
      </c>
      <c r="J28" s="14">
        <f t="shared" si="1"/>
        <v>0.10423301931481681</v>
      </c>
      <c r="K28" s="14">
        <f t="shared" si="2"/>
        <v>1.4138636049261346E-2</v>
      </c>
      <c r="L28" s="14">
        <f t="shared" si="3"/>
        <v>1.1385592038104924E-2</v>
      </c>
      <c r="M28" s="14">
        <f t="shared" si="4"/>
        <v>9.0094383265555467E-2</v>
      </c>
      <c r="N28" s="11">
        <f t="shared" si="5"/>
        <v>3538824</v>
      </c>
      <c r="O28" s="14">
        <v>-12</v>
      </c>
      <c r="P28" s="15">
        <v>25503045</v>
      </c>
      <c r="Q28" s="15">
        <v>796970.15625</v>
      </c>
      <c r="R28" s="15">
        <v>20905.71875</v>
      </c>
      <c r="S28" s="16">
        <v>26088960</v>
      </c>
      <c r="T28" s="16">
        <v>2849752</v>
      </c>
      <c r="U28" s="16">
        <v>689072</v>
      </c>
      <c r="V28" s="16">
        <v>22550136</v>
      </c>
      <c r="W28" s="17">
        <v>70.438771874999901</v>
      </c>
      <c r="X28" s="17">
        <v>72.973003124999906</v>
      </c>
      <c r="Y28" s="17">
        <v>34.905471874999897</v>
      </c>
      <c r="Z28" s="17">
        <v>37.372971874999998</v>
      </c>
      <c r="AA28" s="17">
        <v>36.936059374999999</v>
      </c>
      <c r="AB28" s="18">
        <v>556.94299999999998</v>
      </c>
      <c r="AC28" s="18">
        <v>582.54499999999996</v>
      </c>
      <c r="AD28" s="18">
        <v>1578.13</v>
      </c>
      <c r="AE28" s="18">
        <v>10.359</v>
      </c>
      <c r="AG28" s="13">
        <f t="shared" si="6"/>
        <v>24.517620000000001</v>
      </c>
      <c r="AH28" s="14">
        <f t="shared" si="7"/>
        <v>0.10448539393473567</v>
      </c>
      <c r="AI28" s="14">
        <f t="shared" si="8"/>
        <v>1.4320533714149673E-2</v>
      </c>
      <c r="AJ28" s="14">
        <f t="shared" si="9"/>
        <v>1.1567489702993251E-2</v>
      </c>
      <c r="AK28" s="14">
        <f t="shared" si="10"/>
        <v>9.0164860220585993E-2</v>
      </c>
      <c r="AL28" s="11">
        <f t="shared" si="11"/>
        <v>3584352</v>
      </c>
      <c r="AM28" s="14">
        <v>-12</v>
      </c>
      <c r="AN28" s="15"/>
      <c r="AO28" s="15"/>
      <c r="AP28" s="15"/>
      <c r="AQ28" s="16">
        <v>26152128</v>
      </c>
      <c r="AR28" s="16">
        <v>2895280</v>
      </c>
      <c r="AS28" s="16">
        <v>689072</v>
      </c>
      <c r="AT28" s="16">
        <v>22567776</v>
      </c>
      <c r="AU28" s="17">
        <v>70.428746875000002</v>
      </c>
      <c r="AV28" s="17">
        <v>72.959471875000006</v>
      </c>
      <c r="AW28" s="17">
        <v>34.892506249999997</v>
      </c>
      <c r="AX28" s="17">
        <v>37.364800000000002</v>
      </c>
      <c r="AY28" s="17">
        <v>36.930565625</v>
      </c>
      <c r="AZ28" s="18">
        <v>213.84100000000001</v>
      </c>
      <c r="BA28" s="18">
        <v>326.08300000000003</v>
      </c>
      <c r="BB28" s="18">
        <v>981.14</v>
      </c>
      <c r="BC28" s="18">
        <v>10.281000000000001</v>
      </c>
      <c r="BE28" s="43">
        <f t="shared" si="12"/>
        <v>1.0128652908423814</v>
      </c>
      <c r="BF28" s="19" t="e">
        <f t="shared" si="13"/>
        <v>#DIV/0!</v>
      </c>
      <c r="BG28" s="19">
        <f t="shared" si="14"/>
        <v>1.4132543273702447E-3</v>
      </c>
      <c r="BH28" s="19"/>
      <c r="BJ28" s="43"/>
      <c r="BK28" s="43"/>
      <c r="BL28" s="43"/>
      <c r="BM28" s="43"/>
      <c r="BN28" s="43"/>
      <c r="BP28" s="43"/>
      <c r="BQ28" s="43"/>
      <c r="BR28" s="43"/>
      <c r="BS28" s="43"/>
      <c r="BT28" s="43"/>
      <c r="BV28" s="51">
        <f t="shared" si="25"/>
        <v>0.61604508899474453</v>
      </c>
      <c r="BW28" s="51">
        <f t="shared" si="20"/>
        <v>0.4402441013140615</v>
      </c>
      <c r="BX28" s="51">
        <f t="shared" si="20"/>
        <v>0.37828949452833421</v>
      </c>
      <c r="BY28" s="51">
        <f t="shared" si="16"/>
        <v>0.52814459515440304</v>
      </c>
      <c r="BZ28" s="55"/>
      <c r="CA28" s="51"/>
      <c r="CC28" s="57"/>
    </row>
    <row r="29" spans="1:84" ht="14.25" outlineLevel="1" thickBot="1" x14ac:dyDescent="0.2">
      <c r="A29" s="20"/>
      <c r="B29" s="20" t="s">
        <v>27</v>
      </c>
      <c r="C29" s="21" t="s">
        <v>148</v>
      </c>
      <c r="D29" s="20">
        <v>250294582</v>
      </c>
      <c r="E29" s="21">
        <v>10</v>
      </c>
      <c r="F29" s="21">
        <v>32</v>
      </c>
      <c r="G29" s="21">
        <v>30</v>
      </c>
      <c r="I29" s="22">
        <f t="shared" si="0"/>
        <v>44.156122500000002</v>
      </c>
      <c r="J29" s="23">
        <f t="shared" si="1"/>
        <v>0.18817772092246088</v>
      </c>
      <c r="K29" s="23">
        <f t="shared" si="2"/>
        <v>2.2856395669004135E-2</v>
      </c>
      <c r="L29" s="23">
        <f t="shared" si="3"/>
        <v>1.7621859669339546E-2</v>
      </c>
      <c r="M29" s="23">
        <f t="shared" si="4"/>
        <v>0.16532132525345675</v>
      </c>
      <c r="N29" s="20">
        <f t="shared" si="5"/>
        <v>5720832</v>
      </c>
      <c r="O29" s="23">
        <v>-12</v>
      </c>
      <c r="P29" s="24">
        <v>24554524</v>
      </c>
      <c r="Q29" s="24">
        <v>767328.875</v>
      </c>
      <c r="R29" s="24">
        <v>9745.3125</v>
      </c>
      <c r="S29" s="25">
        <v>47099864</v>
      </c>
      <c r="T29" s="25">
        <v>4410656</v>
      </c>
      <c r="U29" s="25">
        <v>1310176</v>
      </c>
      <c r="V29" s="25">
        <v>41379032</v>
      </c>
      <c r="W29" s="26">
        <v>71.141515624999997</v>
      </c>
      <c r="X29" s="26">
        <v>74.899956249999903</v>
      </c>
      <c r="Y29" s="26">
        <v>37.334449999999997</v>
      </c>
      <c r="Z29" s="26">
        <v>39.404759374999998</v>
      </c>
      <c r="AA29" s="26">
        <v>38.75755625</v>
      </c>
      <c r="AB29" s="27">
        <v>596.798</v>
      </c>
      <c r="AC29" s="27">
        <v>691.16800000000001</v>
      </c>
      <c r="AD29" s="27">
        <v>1743.5</v>
      </c>
      <c r="AE29" s="27">
        <v>10.561999999999999</v>
      </c>
      <c r="AG29" s="22">
        <f t="shared" si="6"/>
        <v>44.239364999999999</v>
      </c>
      <c r="AH29" s="23">
        <f t="shared" si="7"/>
        <v>0.18853247091061684</v>
      </c>
      <c r="AI29" s="23">
        <f t="shared" si="8"/>
        <v>2.2985076041318386E-2</v>
      </c>
      <c r="AJ29" s="23">
        <f t="shared" si="9"/>
        <v>1.7750540041653797E-2</v>
      </c>
      <c r="AK29" s="23">
        <f t="shared" si="10"/>
        <v>0.16554739486929845</v>
      </c>
      <c r="AL29" s="20">
        <f t="shared" si="11"/>
        <v>5753040</v>
      </c>
      <c r="AM29" s="23">
        <v>-12</v>
      </c>
      <c r="AN29" s="24"/>
      <c r="AO29" s="24"/>
      <c r="AP29" s="24"/>
      <c r="AQ29" s="25">
        <v>47188656</v>
      </c>
      <c r="AR29" s="25">
        <v>4442864</v>
      </c>
      <c r="AS29" s="25">
        <v>1310176</v>
      </c>
      <c r="AT29" s="25">
        <v>41435616</v>
      </c>
      <c r="AU29" s="26">
        <v>71.139143750000002</v>
      </c>
      <c r="AV29" s="26">
        <v>74.874828124999894</v>
      </c>
      <c r="AW29" s="26">
        <v>37.312318749999903</v>
      </c>
      <c r="AX29" s="26">
        <v>39.392103124999998</v>
      </c>
      <c r="AY29" s="26">
        <v>38.742793749999898</v>
      </c>
      <c r="AZ29" s="27">
        <v>306.541</v>
      </c>
      <c r="BA29" s="27">
        <v>466.28300000000002</v>
      </c>
      <c r="BB29" s="27">
        <v>1228.22</v>
      </c>
      <c r="BC29" s="27">
        <v>10.5</v>
      </c>
      <c r="BE29" s="28">
        <f t="shared" si="12"/>
        <v>1.0056299503289032</v>
      </c>
      <c r="BF29" s="29" t="e">
        <f t="shared" si="13"/>
        <v>#DIV/0!</v>
      </c>
      <c r="BG29" s="29">
        <f t="shared" si="14"/>
        <v>4.5398979189348321E-4</v>
      </c>
      <c r="BH29" s="29"/>
      <c r="BJ29" s="28"/>
      <c r="BK29" s="28"/>
      <c r="BL29" s="28"/>
      <c r="BM29" s="28"/>
      <c r="BN29" s="28"/>
      <c r="BP29" s="28"/>
      <c r="BQ29" s="28"/>
      <c r="BR29" s="28"/>
      <c r="BS29" s="28"/>
      <c r="BT29" s="28"/>
      <c r="BV29" s="51">
        <f t="shared" si="25"/>
        <v>0.48635719288603513</v>
      </c>
      <c r="BW29" s="51">
        <f t="shared" si="20"/>
        <v>0.32536951942219544</v>
      </c>
      <c r="BX29" s="51">
        <f t="shared" si="20"/>
        <v>0.29554344708918839</v>
      </c>
      <c r="BY29" s="51">
        <f t="shared" si="16"/>
        <v>0.40586335615411528</v>
      </c>
      <c r="BZ29" s="55">
        <f t="shared" ref="BZ29:CA29" si="26">AVERAGE(BV25:BV29)</f>
        <v>0.65525894980084665</v>
      </c>
      <c r="CA29" s="51">
        <f t="shared" si="26"/>
        <v>0.56238504103796105</v>
      </c>
      <c r="CB29" s="51">
        <f>AVERAGE(BX25:BX29)</f>
        <v>0.42323507690608186</v>
      </c>
      <c r="CC29" s="58">
        <f>AVERAGE(BY25:BY29)</f>
        <v>0.60882199541940385</v>
      </c>
      <c r="CD29" s="51">
        <f t="shared" ref="CD29:CE29" si="27">(SUM(AB25:AB29)-SUM(AZ25:AZ29))/SUM(AB25:AB29)</f>
        <v>0.64742490479451453</v>
      </c>
      <c r="CE29" s="51">
        <f t="shared" si="27"/>
        <v>0.53414201682190099</v>
      </c>
      <c r="CF29" s="51">
        <f t="shared" ref="CF29" si="28">(SUM(AB25:AC29)-SUM(AZ25:BA29))/SUM(AB25:AC29)</f>
        <v>0.59064516974721559</v>
      </c>
    </row>
    <row r="30" spans="1:84" x14ac:dyDescent="0.15">
      <c r="A30" s="11" t="s">
        <v>150</v>
      </c>
      <c r="B30" s="11" t="s">
        <v>28</v>
      </c>
      <c r="C30" s="12" t="s">
        <v>144</v>
      </c>
      <c r="D30" s="11">
        <v>375422539</v>
      </c>
      <c r="E30" s="12">
        <v>11</v>
      </c>
      <c r="F30" s="12">
        <v>32</v>
      </c>
      <c r="G30" s="12">
        <v>30</v>
      </c>
      <c r="I30" s="13" t="str">
        <f t="shared" si="0"/>
        <v>·</v>
      </c>
      <c r="J30" s="14" t="str">
        <f t="shared" si="1"/>
        <v>·</v>
      </c>
      <c r="K30" s="14" t="str">
        <f t="shared" si="2"/>
        <v>·</v>
      </c>
      <c r="L30" s="14" t="str">
        <f t="shared" si="3"/>
        <v>·</v>
      </c>
      <c r="M30" s="14" t="str">
        <f t="shared" si="4"/>
        <v>·</v>
      </c>
      <c r="N30" s="11" t="str">
        <f t="shared" si="5"/>
        <v/>
      </c>
      <c r="O30" s="14">
        <v>-12</v>
      </c>
      <c r="P30" s="15">
        <v>84256321</v>
      </c>
      <c r="Q30" s="15">
        <v>2633010.03125</v>
      </c>
      <c r="R30" s="15">
        <v>31474.3125</v>
      </c>
      <c r="S30" s="16"/>
      <c r="T30" s="16"/>
      <c r="U30" s="16"/>
      <c r="V30" s="16"/>
      <c r="W30" s="17"/>
      <c r="X30" s="17"/>
      <c r="Y30" s="17"/>
      <c r="Z30" s="17"/>
      <c r="AA30" s="17"/>
      <c r="AB30" s="18"/>
      <c r="AC30" s="18"/>
      <c r="AD30" s="18"/>
      <c r="AE30" s="18"/>
      <c r="AG30" s="13" t="str">
        <f t="shared" si="6"/>
        <v>·</v>
      </c>
      <c r="AH30" s="14" t="str">
        <f t="shared" si="7"/>
        <v>·</v>
      </c>
      <c r="AI30" s="14" t="str">
        <f t="shared" si="8"/>
        <v>·</v>
      </c>
      <c r="AJ30" s="14" t="str">
        <f t="shared" si="9"/>
        <v>·</v>
      </c>
      <c r="AK30" s="14" t="str">
        <f t="shared" si="10"/>
        <v>·</v>
      </c>
      <c r="AL30" s="11" t="str">
        <f t="shared" si="11"/>
        <v/>
      </c>
      <c r="AM30" s="14">
        <v>-12</v>
      </c>
      <c r="AN30" s="15"/>
      <c r="AO30" s="15"/>
      <c r="AP30" s="15"/>
      <c r="AQ30" s="16"/>
      <c r="AR30" s="16"/>
      <c r="AS30" s="16"/>
      <c r="AT30" s="16"/>
      <c r="AU30" s="17"/>
      <c r="AV30" s="17"/>
      <c r="AW30" s="17"/>
      <c r="AX30" s="17"/>
      <c r="AY30" s="17"/>
      <c r="AZ30" s="18"/>
      <c r="BA30" s="18"/>
      <c r="BB30" s="18"/>
      <c r="BC30" s="18"/>
      <c r="BE30" s="43" t="e">
        <f t="shared" si="12"/>
        <v>#VALUE!</v>
      </c>
      <c r="BF30" s="19" t="e">
        <f t="shared" si="13"/>
        <v>#DIV/0!</v>
      </c>
      <c r="BG30" s="19" t="e">
        <f t="shared" si="14"/>
        <v>#VALUE!</v>
      </c>
      <c r="BH30" s="19" t="e">
        <f t="array" ref="BH30">AVERAGE(AL30:AL34/AQ30:AQ34) - AVERAGE(N30:N34/S30:S34)</f>
        <v>#VALUE!</v>
      </c>
      <c r="BJ30" s="43" t="str">
        <f>IF( OR(ISBLANK(N30:N34),ISBLANK(AL30:AL34), ISBLANK(W30:W34),ISBLANK(AU30:AU34)), "·", bdRateExtend( N30:N34,W30:W34, AL30:AL34,AU30:AU34))</f>
        <v>·</v>
      </c>
      <c r="BK30" s="43" t="str">
        <f>IF( OR(ISBLANK(N30:N34),ISBLANK(AL30:AL34), ISBLANK(X30:X34),ISBLANK(AV30:AV34)), "·", bdRateExtend( N30:N34,X30:X34, AL30:AL34,AV30:AV34))</f>
        <v>·</v>
      </c>
      <c r="BL30" s="43" t="str">
        <f>IF( OR(ISBLANK(V30:V34),ISBLANK(AT30:AT34), ISBLANK(Y30:Y34),ISBLANK(AW30:AW34)), "·", bdRateExtend( V30:V34,Y30:Y34, AT30:AT34,AW30:AW34))</f>
        <v>·</v>
      </c>
      <c r="BM30" s="43" t="str">
        <f>IF( OR(ISBLANK(V30:V34),ISBLANK(AT30:AT34), ISBLANK(Z30:Z34),ISBLANK(AX30:AX34)), "·", bdRateExtend( V30:V34,Z30:Z34, AT30:AT34,AX30:AX34))</f>
        <v>·</v>
      </c>
      <c r="BN30" s="43" t="str">
        <f>IF( OR(ISBLANK(V30:V34),ISBLANK(AT30:AT34), ISBLANK(AA30:AA34),ISBLANK(AY30:AY34)), "·", bdRateExtend( V30:V34,AA30:AA34, AT30:AT34,AY30:AY34))</f>
        <v>·</v>
      </c>
      <c r="BP30" s="43" t="str">
        <f>IF( OR(ISBLANK(S30:S34),ISBLANK(AQ30:AQ34), ISBLANK(W30:W34),ISBLANK(AU30:AU34)), "·", bdRateExtend( S30:S34,W30:W34, AQ30:AQ34,AU30:AU34))</f>
        <v>·</v>
      </c>
      <c r="BQ30" s="43" t="str">
        <f>IF( OR(ISBLANK(S30:S34),ISBLANK(AQ30:AQ34), ISBLANK(X30:X34),ISBLANK(AV30:AV34)), "·", bdRateExtend( S30:S34,X30:X34, AQ30:AQ34,AV30:AV34))</f>
        <v>·</v>
      </c>
      <c r="BR30" s="43" t="str">
        <f>IF( OR(ISBLANK(S30:S34),ISBLANK(AQ30:AQ34), ISBLANK(Y30:Y34),ISBLANK(AW30:AW34)), "·", bdRateExtend( S30:S34,Y30:Y34, AQ30:AQ34,AW30:AW34))</f>
        <v>·</v>
      </c>
      <c r="BS30" s="43" t="str">
        <f>IF( OR(ISBLANK(S30:S34),ISBLANK(AQ30:AQ34), ISBLANK(Z30:Z34),ISBLANK(AX30:AX34)), "·", bdRateExtend( S30:S34,Z30:Z34, AQ30:AQ34,AX30:AX34))</f>
        <v>·</v>
      </c>
      <c r="BT30" s="43" t="str">
        <f>IF( OR(ISBLANK(S30:S34),ISBLANK(AQ30:AQ34), ISBLANK(AA30:AA34),ISBLANK(AY30:AY34)), "·", bdRateExtend( S30:S34,AA30:AA34, AQ30:AQ34,AY30:AY34))</f>
        <v>·</v>
      </c>
      <c r="BV30" s="51" t="e">
        <f t="shared" si="25"/>
        <v>#DIV/0!</v>
      </c>
      <c r="BW30" s="51" t="e">
        <f t="shared" si="25"/>
        <v>#DIV/0!</v>
      </c>
      <c r="BX30" s="51" t="e">
        <f t="shared" si="25"/>
        <v>#DIV/0!</v>
      </c>
      <c r="BY30" s="51" t="e">
        <f t="shared" si="16"/>
        <v>#DIV/0!</v>
      </c>
      <c r="BZ30" s="55"/>
      <c r="CA30" s="51"/>
      <c r="CC30" s="57"/>
    </row>
    <row r="31" spans="1:84" outlineLevel="1" x14ac:dyDescent="0.15">
      <c r="A31" s="46"/>
      <c r="B31" s="46" t="s">
        <v>28</v>
      </c>
      <c r="C31" s="3" t="s">
        <v>145</v>
      </c>
      <c r="D31" s="46">
        <v>375422539</v>
      </c>
      <c r="E31" s="3">
        <v>11</v>
      </c>
      <c r="F31" s="3">
        <v>32</v>
      </c>
      <c r="G31" s="3">
        <v>30</v>
      </c>
      <c r="I31" s="4" t="str">
        <f t="shared" si="0"/>
        <v>·</v>
      </c>
      <c r="J31" s="5" t="str">
        <f t="shared" si="1"/>
        <v>·</v>
      </c>
      <c r="K31" s="5" t="str">
        <f t="shared" si="2"/>
        <v>·</v>
      </c>
      <c r="L31" s="5" t="str">
        <f t="shared" si="3"/>
        <v>·</v>
      </c>
      <c r="M31" s="5" t="str">
        <f t="shared" si="4"/>
        <v>·</v>
      </c>
      <c r="N31" s="46" t="str">
        <f t="shared" si="5"/>
        <v/>
      </c>
      <c r="O31" s="5">
        <v>-12</v>
      </c>
      <c r="P31" s="6">
        <v>89796795</v>
      </c>
      <c r="Q31" s="6">
        <v>2806149.84375</v>
      </c>
      <c r="R31" s="6">
        <v>39729</v>
      </c>
      <c r="S31" s="7"/>
      <c r="T31" s="7"/>
      <c r="U31" s="7"/>
      <c r="V31" s="7"/>
      <c r="W31" s="8"/>
      <c r="X31" s="8"/>
      <c r="Y31" s="8"/>
      <c r="Z31" s="8"/>
      <c r="AA31" s="8"/>
      <c r="AB31" s="9"/>
      <c r="AC31" s="9"/>
      <c r="AD31" s="9"/>
      <c r="AE31" s="9"/>
      <c r="AG31" s="4" t="str">
        <f t="shared" si="6"/>
        <v>·</v>
      </c>
      <c r="AH31" s="5" t="str">
        <f t="shared" si="7"/>
        <v>·</v>
      </c>
      <c r="AI31" s="5" t="str">
        <f t="shared" si="8"/>
        <v>·</v>
      </c>
      <c r="AJ31" s="5" t="str">
        <f t="shared" si="9"/>
        <v>·</v>
      </c>
      <c r="AK31" s="5" t="str">
        <f t="shared" si="10"/>
        <v>·</v>
      </c>
      <c r="AL31" s="46" t="str">
        <f t="shared" si="11"/>
        <v/>
      </c>
      <c r="AM31" s="5">
        <v>-12</v>
      </c>
      <c r="AN31" s="6"/>
      <c r="AO31" s="6"/>
      <c r="AP31" s="6"/>
      <c r="AQ31" s="7"/>
      <c r="AR31" s="7"/>
      <c r="AS31" s="7"/>
      <c r="AT31" s="7"/>
      <c r="AU31" s="8"/>
      <c r="AV31" s="8"/>
      <c r="AW31" s="8"/>
      <c r="AX31" s="8"/>
      <c r="AY31" s="8"/>
      <c r="AZ31" s="9"/>
      <c r="BA31" s="9"/>
      <c r="BB31" s="9"/>
      <c r="BC31" s="9"/>
      <c r="BE31" s="44" t="e">
        <f t="shared" si="12"/>
        <v>#VALUE!</v>
      </c>
      <c r="BF31" s="10" t="e">
        <f t="shared" si="13"/>
        <v>#DIV/0!</v>
      </c>
      <c r="BG31" s="10" t="e">
        <f t="shared" si="14"/>
        <v>#VALUE!</v>
      </c>
      <c r="BH31" s="10"/>
      <c r="BJ31" s="44"/>
      <c r="BK31" s="44"/>
      <c r="BL31" s="44"/>
      <c r="BM31" s="44"/>
      <c r="BN31" s="44"/>
      <c r="BP31" s="44"/>
      <c r="BQ31" s="44"/>
      <c r="BR31" s="44"/>
      <c r="BS31" s="44"/>
      <c r="BT31" s="44"/>
      <c r="BV31" s="51" t="e">
        <f t="shared" si="25"/>
        <v>#DIV/0!</v>
      </c>
      <c r="BW31" s="51" t="e">
        <f t="shared" si="25"/>
        <v>#DIV/0!</v>
      </c>
      <c r="BX31" s="51" t="e">
        <f t="shared" si="25"/>
        <v>#DIV/0!</v>
      </c>
      <c r="BY31" s="51" t="e">
        <f t="shared" si="16"/>
        <v>#DIV/0!</v>
      </c>
      <c r="BZ31" s="55"/>
      <c r="CA31" s="51"/>
      <c r="CC31" s="57"/>
    </row>
    <row r="32" spans="1:84" outlineLevel="1" x14ac:dyDescent="0.15">
      <c r="A32" s="11"/>
      <c r="B32" s="11" t="s">
        <v>28</v>
      </c>
      <c r="C32" s="12" t="s">
        <v>146</v>
      </c>
      <c r="D32" s="11">
        <v>375422539</v>
      </c>
      <c r="E32" s="12">
        <v>11</v>
      </c>
      <c r="F32" s="12">
        <v>32</v>
      </c>
      <c r="G32" s="12">
        <v>30</v>
      </c>
      <c r="I32" s="13" t="str">
        <f t="shared" si="0"/>
        <v>·</v>
      </c>
      <c r="J32" s="14" t="str">
        <f t="shared" si="1"/>
        <v>·</v>
      </c>
      <c r="K32" s="14" t="str">
        <f t="shared" si="2"/>
        <v>·</v>
      </c>
      <c r="L32" s="14" t="str">
        <f t="shared" si="3"/>
        <v>·</v>
      </c>
      <c r="M32" s="14" t="str">
        <f t="shared" si="4"/>
        <v>·</v>
      </c>
      <c r="N32" s="11" t="str">
        <f t="shared" si="5"/>
        <v/>
      </c>
      <c r="O32" s="14">
        <v>-12</v>
      </c>
      <c r="P32" s="15">
        <v>91551049</v>
      </c>
      <c r="Q32" s="15">
        <v>2860970.28125</v>
      </c>
      <c r="R32" s="15">
        <v>42562.1875</v>
      </c>
      <c r="S32" s="16"/>
      <c r="T32" s="16"/>
      <c r="U32" s="16"/>
      <c r="V32" s="16"/>
      <c r="W32" s="17"/>
      <c r="X32" s="17"/>
      <c r="Y32" s="17"/>
      <c r="Z32" s="17"/>
      <c r="AA32" s="17"/>
      <c r="AB32" s="18"/>
      <c r="AC32" s="18"/>
      <c r="AD32" s="18"/>
      <c r="AE32" s="18"/>
      <c r="AG32" s="13" t="str">
        <f t="shared" si="6"/>
        <v>·</v>
      </c>
      <c r="AH32" s="14" t="str">
        <f t="shared" si="7"/>
        <v>·</v>
      </c>
      <c r="AI32" s="14" t="str">
        <f t="shared" si="8"/>
        <v>·</v>
      </c>
      <c r="AJ32" s="14" t="str">
        <f t="shared" si="9"/>
        <v>·</v>
      </c>
      <c r="AK32" s="14" t="str">
        <f t="shared" si="10"/>
        <v>·</v>
      </c>
      <c r="AL32" s="11" t="str">
        <f t="shared" si="11"/>
        <v/>
      </c>
      <c r="AM32" s="14">
        <v>-12</v>
      </c>
      <c r="AN32" s="15"/>
      <c r="AO32" s="15"/>
      <c r="AP32" s="15"/>
      <c r="AQ32" s="16"/>
      <c r="AR32" s="16"/>
      <c r="AS32" s="16"/>
      <c r="AT32" s="16"/>
      <c r="AU32" s="17"/>
      <c r="AV32" s="17"/>
      <c r="AW32" s="17"/>
      <c r="AX32" s="17"/>
      <c r="AY32" s="17"/>
      <c r="AZ32" s="18"/>
      <c r="BA32" s="18"/>
      <c r="BB32" s="18"/>
      <c r="BC32" s="18"/>
      <c r="BE32" s="43" t="e">
        <f t="shared" si="12"/>
        <v>#VALUE!</v>
      </c>
      <c r="BF32" s="19" t="e">
        <f t="shared" si="13"/>
        <v>#DIV/0!</v>
      </c>
      <c r="BG32" s="19" t="e">
        <f t="shared" si="14"/>
        <v>#VALUE!</v>
      </c>
      <c r="BH32" s="19"/>
      <c r="BJ32" s="43"/>
      <c r="BK32" s="43"/>
      <c r="BL32" s="43"/>
      <c r="BM32" s="43"/>
      <c r="BN32" s="43"/>
      <c r="BP32" s="43"/>
      <c r="BQ32" s="43"/>
      <c r="BR32" s="43"/>
      <c r="BS32" s="43"/>
      <c r="BT32" s="43"/>
      <c r="BV32" s="51" t="e">
        <f t="shared" si="25"/>
        <v>#DIV/0!</v>
      </c>
      <c r="BW32" s="51" t="e">
        <f t="shared" si="25"/>
        <v>#DIV/0!</v>
      </c>
      <c r="BX32" s="51" t="e">
        <f t="shared" si="25"/>
        <v>#DIV/0!</v>
      </c>
      <c r="BY32" s="51" t="e">
        <f t="shared" si="16"/>
        <v>#DIV/0!</v>
      </c>
      <c r="BZ32" s="55"/>
      <c r="CA32" s="51"/>
      <c r="CC32" s="57"/>
    </row>
    <row r="33" spans="1:81" outlineLevel="1" x14ac:dyDescent="0.15">
      <c r="A33" s="46"/>
      <c r="B33" s="46" t="s">
        <v>28</v>
      </c>
      <c r="C33" s="3" t="s">
        <v>147</v>
      </c>
      <c r="D33" s="46">
        <v>375422539</v>
      </c>
      <c r="E33" s="3">
        <v>11</v>
      </c>
      <c r="F33" s="3">
        <v>32</v>
      </c>
      <c r="G33" s="3">
        <v>30</v>
      </c>
      <c r="I33" s="4" t="str">
        <f t="shared" si="0"/>
        <v>·</v>
      </c>
      <c r="J33" s="5" t="str">
        <f t="shared" si="1"/>
        <v>·</v>
      </c>
      <c r="K33" s="5" t="str">
        <f t="shared" si="2"/>
        <v>·</v>
      </c>
      <c r="L33" s="5" t="str">
        <f t="shared" si="3"/>
        <v>·</v>
      </c>
      <c r="M33" s="5" t="str">
        <f t="shared" si="4"/>
        <v>·</v>
      </c>
      <c r="N33" s="46" t="str">
        <f t="shared" si="5"/>
        <v/>
      </c>
      <c r="O33" s="5">
        <v>-12</v>
      </c>
      <c r="P33" s="6">
        <v>93835548</v>
      </c>
      <c r="Q33" s="6">
        <v>2932360.875</v>
      </c>
      <c r="R33" s="6">
        <v>47386.6875</v>
      </c>
      <c r="S33" s="7"/>
      <c r="T33" s="7"/>
      <c r="U33" s="7"/>
      <c r="V33" s="7"/>
      <c r="W33" s="8"/>
      <c r="X33" s="8"/>
      <c r="Y33" s="8"/>
      <c r="Z33" s="8"/>
      <c r="AA33" s="8"/>
      <c r="AB33" s="9"/>
      <c r="AC33" s="9"/>
      <c r="AD33" s="9"/>
      <c r="AE33" s="9"/>
      <c r="AG33" s="4" t="str">
        <f t="shared" si="6"/>
        <v>·</v>
      </c>
      <c r="AH33" s="5" t="str">
        <f t="shared" si="7"/>
        <v>·</v>
      </c>
      <c r="AI33" s="5" t="str">
        <f t="shared" si="8"/>
        <v>·</v>
      </c>
      <c r="AJ33" s="5" t="str">
        <f t="shared" si="9"/>
        <v>·</v>
      </c>
      <c r="AK33" s="5" t="str">
        <f t="shared" si="10"/>
        <v>·</v>
      </c>
      <c r="AL33" s="46" t="str">
        <f t="shared" si="11"/>
        <v/>
      </c>
      <c r="AM33" s="5">
        <v>-12</v>
      </c>
      <c r="AN33" s="6"/>
      <c r="AO33" s="6"/>
      <c r="AP33" s="6"/>
      <c r="AQ33" s="7"/>
      <c r="AR33" s="7"/>
      <c r="AS33" s="7"/>
      <c r="AT33" s="7"/>
      <c r="AU33" s="8"/>
      <c r="AV33" s="8"/>
      <c r="AW33" s="8"/>
      <c r="AX33" s="8"/>
      <c r="AY33" s="8"/>
      <c r="AZ33" s="9"/>
      <c r="BA33" s="9"/>
      <c r="BB33" s="9"/>
      <c r="BC33" s="9"/>
      <c r="BE33" s="44" t="e">
        <f t="shared" si="12"/>
        <v>#VALUE!</v>
      </c>
      <c r="BF33" s="10" t="e">
        <f t="shared" si="13"/>
        <v>#DIV/0!</v>
      </c>
      <c r="BG33" s="10" t="e">
        <f t="shared" si="14"/>
        <v>#VALUE!</v>
      </c>
      <c r="BH33" s="10"/>
      <c r="BJ33" s="44"/>
      <c r="BK33" s="44"/>
      <c r="BL33" s="44"/>
      <c r="BM33" s="44"/>
      <c r="BN33" s="44"/>
      <c r="BP33" s="44"/>
      <c r="BQ33" s="44"/>
      <c r="BR33" s="44"/>
      <c r="BS33" s="44"/>
      <c r="BT33" s="44"/>
      <c r="BV33" s="51" t="e">
        <f t="shared" si="25"/>
        <v>#DIV/0!</v>
      </c>
      <c r="BW33" s="51" t="e">
        <f t="shared" si="25"/>
        <v>#DIV/0!</v>
      </c>
      <c r="BX33" s="51" t="e">
        <f t="shared" si="25"/>
        <v>#DIV/0!</v>
      </c>
      <c r="BY33" s="51" t="e">
        <f t="shared" si="16"/>
        <v>#DIV/0!</v>
      </c>
      <c r="BZ33" s="55"/>
      <c r="CA33" s="51"/>
      <c r="CC33" s="57"/>
    </row>
    <row r="34" spans="1:81" ht="14.25" outlineLevel="1" thickBot="1" x14ac:dyDescent="0.2">
      <c r="A34" s="11"/>
      <c r="B34" s="30" t="s">
        <v>28</v>
      </c>
      <c r="C34" s="31" t="s">
        <v>148</v>
      </c>
      <c r="D34" s="30">
        <v>375422539</v>
      </c>
      <c r="E34" s="31">
        <v>11</v>
      </c>
      <c r="F34" s="31">
        <v>32</v>
      </c>
      <c r="G34" s="31">
        <v>30</v>
      </c>
      <c r="I34" s="32" t="str">
        <f t="shared" si="0"/>
        <v>·</v>
      </c>
      <c r="J34" s="33" t="str">
        <f t="shared" si="1"/>
        <v>·</v>
      </c>
      <c r="K34" s="33" t="str">
        <f t="shared" si="2"/>
        <v>·</v>
      </c>
      <c r="L34" s="33" t="str">
        <f t="shared" si="3"/>
        <v>·</v>
      </c>
      <c r="M34" s="33" t="str">
        <f t="shared" si="4"/>
        <v>·</v>
      </c>
      <c r="N34" s="30" t="str">
        <f t="shared" si="5"/>
        <v/>
      </c>
      <c r="O34" s="33">
        <v>-12</v>
      </c>
      <c r="P34" s="34">
        <v>91937439</v>
      </c>
      <c r="Q34" s="34">
        <v>2873044.96875</v>
      </c>
      <c r="R34" s="34">
        <v>18769.40625</v>
      </c>
      <c r="S34" s="35"/>
      <c r="T34" s="35"/>
      <c r="U34" s="35"/>
      <c r="V34" s="35"/>
      <c r="W34" s="36"/>
      <c r="X34" s="36"/>
      <c r="Y34" s="36"/>
      <c r="Z34" s="36"/>
      <c r="AA34" s="36"/>
      <c r="AB34" s="37"/>
      <c r="AC34" s="37"/>
      <c r="AD34" s="37"/>
      <c r="AE34" s="37"/>
      <c r="AG34" s="32" t="str">
        <f t="shared" si="6"/>
        <v>·</v>
      </c>
      <c r="AH34" s="33" t="str">
        <f t="shared" si="7"/>
        <v>·</v>
      </c>
      <c r="AI34" s="33" t="str">
        <f t="shared" si="8"/>
        <v>·</v>
      </c>
      <c r="AJ34" s="33" t="str">
        <f t="shared" si="9"/>
        <v>·</v>
      </c>
      <c r="AK34" s="33" t="str">
        <f t="shared" si="10"/>
        <v>·</v>
      </c>
      <c r="AL34" s="30" t="str">
        <f t="shared" si="11"/>
        <v/>
      </c>
      <c r="AM34" s="33">
        <v>-12</v>
      </c>
      <c r="AN34" s="34"/>
      <c r="AO34" s="34"/>
      <c r="AP34" s="34"/>
      <c r="AQ34" s="35"/>
      <c r="AR34" s="35"/>
      <c r="AS34" s="35"/>
      <c r="AT34" s="35"/>
      <c r="AU34" s="36"/>
      <c r="AV34" s="36"/>
      <c r="AW34" s="36"/>
      <c r="AX34" s="36"/>
      <c r="AY34" s="36"/>
      <c r="AZ34" s="37"/>
      <c r="BA34" s="37"/>
      <c r="BB34" s="37"/>
      <c r="BC34" s="37"/>
      <c r="BE34" s="38" t="e">
        <f t="shared" si="12"/>
        <v>#VALUE!</v>
      </c>
      <c r="BF34" s="39" t="e">
        <f t="shared" si="13"/>
        <v>#DIV/0!</v>
      </c>
      <c r="BG34" s="39" t="e">
        <f t="shared" si="14"/>
        <v>#VALUE!</v>
      </c>
      <c r="BH34" s="39"/>
      <c r="BJ34" s="38"/>
      <c r="BK34" s="38"/>
      <c r="BL34" s="38"/>
      <c r="BM34" s="38"/>
      <c r="BN34" s="38"/>
      <c r="BP34" s="38"/>
      <c r="BQ34" s="38"/>
      <c r="BR34" s="38"/>
      <c r="BS34" s="38"/>
      <c r="BT34" s="38"/>
      <c r="BV34" s="51" t="e">
        <f t="shared" si="25"/>
        <v>#DIV/0!</v>
      </c>
      <c r="BW34" s="51" t="e">
        <f t="shared" si="25"/>
        <v>#DIV/0!</v>
      </c>
      <c r="BX34" s="51" t="e">
        <f t="shared" si="25"/>
        <v>#DIV/0!</v>
      </c>
      <c r="BY34" s="51" t="e">
        <f t="shared" si="16"/>
        <v>#DIV/0!</v>
      </c>
      <c r="BZ34" s="55"/>
      <c r="CA34" s="51"/>
      <c r="CC34" s="57"/>
    </row>
    <row r="35" spans="1:81" x14ac:dyDescent="0.15">
      <c r="A35" s="46"/>
      <c r="B35" s="46" t="s">
        <v>29</v>
      </c>
      <c r="C35" s="3" t="s">
        <v>144</v>
      </c>
      <c r="D35" s="46">
        <v>333190689</v>
      </c>
      <c r="E35" s="3">
        <v>11</v>
      </c>
      <c r="F35" s="3">
        <v>32</v>
      </c>
      <c r="G35" s="3">
        <v>30</v>
      </c>
      <c r="I35" s="4" t="str">
        <f t="shared" si="0"/>
        <v>·</v>
      </c>
      <c r="J35" s="5" t="str">
        <f t="shared" si="1"/>
        <v>·</v>
      </c>
      <c r="K35" s="5" t="str">
        <f t="shared" si="2"/>
        <v>·</v>
      </c>
      <c r="L35" s="5" t="str">
        <f t="shared" si="3"/>
        <v>·</v>
      </c>
      <c r="M35" s="5" t="str">
        <f t="shared" si="4"/>
        <v>·</v>
      </c>
      <c r="N35" s="46" t="str">
        <f t="shared" si="5"/>
        <v/>
      </c>
      <c r="O35" s="5">
        <v>-12</v>
      </c>
      <c r="P35" s="6">
        <v>74921620</v>
      </c>
      <c r="Q35" s="6">
        <v>2341300.625</v>
      </c>
      <c r="R35" s="6">
        <v>30932.375</v>
      </c>
      <c r="S35" s="7"/>
      <c r="T35" s="7"/>
      <c r="U35" s="7"/>
      <c r="V35" s="7"/>
      <c r="W35" s="8"/>
      <c r="X35" s="8"/>
      <c r="Y35" s="8"/>
      <c r="Z35" s="8"/>
      <c r="AA35" s="8"/>
      <c r="AB35" s="9"/>
      <c r="AC35" s="9"/>
      <c r="AD35" s="9"/>
      <c r="AE35" s="9"/>
      <c r="AG35" s="4" t="str">
        <f t="shared" si="6"/>
        <v>·</v>
      </c>
      <c r="AH35" s="5" t="str">
        <f t="shared" si="7"/>
        <v>·</v>
      </c>
      <c r="AI35" s="5" t="str">
        <f t="shared" si="8"/>
        <v>·</v>
      </c>
      <c r="AJ35" s="5" t="str">
        <f t="shared" si="9"/>
        <v>·</v>
      </c>
      <c r="AK35" s="5" t="str">
        <f t="shared" si="10"/>
        <v>·</v>
      </c>
      <c r="AL35" s="46" t="str">
        <f t="shared" si="11"/>
        <v/>
      </c>
      <c r="AM35" s="5">
        <v>-12</v>
      </c>
      <c r="AN35" s="6"/>
      <c r="AO35" s="6"/>
      <c r="AP35" s="6"/>
      <c r="AQ35" s="7"/>
      <c r="AR35" s="7"/>
      <c r="AS35" s="7"/>
      <c r="AT35" s="7"/>
      <c r="AU35" s="8"/>
      <c r="AV35" s="8"/>
      <c r="AW35" s="8"/>
      <c r="AX35" s="8"/>
      <c r="AY35" s="8"/>
      <c r="AZ35" s="9"/>
      <c r="BA35" s="9"/>
      <c r="BB35" s="9"/>
      <c r="BC35" s="9"/>
      <c r="BE35" s="44" t="e">
        <f t="shared" si="12"/>
        <v>#VALUE!</v>
      </c>
      <c r="BF35" s="10" t="e">
        <f t="shared" si="13"/>
        <v>#DIV/0!</v>
      </c>
      <c r="BG35" s="10" t="e">
        <f t="shared" si="14"/>
        <v>#VALUE!</v>
      </c>
      <c r="BH35" s="10" t="e">
        <f t="array" ref="BH35">AVERAGE(AL35:AL39/AQ35:AQ39) - AVERAGE(N35:N39/S35:S39)</f>
        <v>#VALUE!</v>
      </c>
      <c r="BJ35" s="44" t="str">
        <f>IF( OR(ISBLANK(N35:N39),ISBLANK(AL35:AL39), ISBLANK(W35:W39),ISBLANK(AU35:AU39)), "·", bdRateExtend( N35:N39,W35:W39, AL35:AL39,AU35:AU39))</f>
        <v>·</v>
      </c>
      <c r="BK35" s="44" t="str">
        <f>IF( OR(ISBLANK(N35:N39),ISBLANK(AL35:AL39), ISBLANK(X35:X39),ISBLANK(AV35:AV39)), "·", bdRateExtend( N35:N39,X35:X39, AL35:AL39,AV35:AV39))</f>
        <v>·</v>
      </c>
      <c r="BL35" s="44" t="str">
        <f>IF( OR(ISBLANK(V35:V39),ISBLANK(AT35:AT39), ISBLANK(Y35:Y39),ISBLANK(AW35:AW39)), "·", bdRateExtend( V35:V39,Y35:Y39, AT35:AT39,AW35:AW39))</f>
        <v>·</v>
      </c>
      <c r="BM35" s="44" t="str">
        <f>IF( OR(ISBLANK(V35:V39),ISBLANK(AT35:AT39), ISBLANK(Z35:Z39),ISBLANK(AX35:AX39)), "·", bdRateExtend( V35:V39,Z35:Z39, AT35:AT39,AX35:AX39))</f>
        <v>·</v>
      </c>
      <c r="BN35" s="44" t="str">
        <f>IF( OR(ISBLANK(V35:V39),ISBLANK(AT35:AT39), ISBLANK(AA35:AA39),ISBLANK(AY35:AY39)), "·", bdRateExtend( V35:V39,AA35:AA39, AT35:AT39,AY35:AY39))</f>
        <v>·</v>
      </c>
      <c r="BP35" s="44" t="str">
        <f>IF( OR(ISBLANK(S35:S39),ISBLANK(AQ35:AQ39), ISBLANK(W35:W39),ISBLANK(AU35:AU39)), "·", bdRateExtend( S35:S39,W35:W39, AQ35:AQ39,AU35:AU39))</f>
        <v>·</v>
      </c>
      <c r="BQ35" s="44" t="str">
        <f>IF( OR(ISBLANK(S35:S39),ISBLANK(AQ35:AQ39), ISBLANK(X35:X39),ISBLANK(AV35:AV39)), "·", bdRateExtend( S35:S39,X35:X39, AQ35:AQ39,AV35:AV39))</f>
        <v>·</v>
      </c>
      <c r="BR35" s="44" t="str">
        <f>IF( OR(ISBLANK(S35:S39),ISBLANK(AQ35:AQ39), ISBLANK(Y35:Y39),ISBLANK(AW35:AW39)), "·", bdRateExtend( S35:S39,Y35:Y39, AQ35:AQ39,AW35:AW39))</f>
        <v>·</v>
      </c>
      <c r="BS35" s="44" t="str">
        <f>IF( OR(ISBLANK(S35:S39),ISBLANK(AQ35:AQ39), ISBLANK(Z35:Z39),ISBLANK(AX35:AX39)), "·", bdRateExtend( S35:S39,Z35:Z39, AQ35:AQ39,AX35:AX39))</f>
        <v>·</v>
      </c>
      <c r="BT35" s="44" t="str">
        <f>IF( OR(ISBLANK(S35:S39),ISBLANK(AQ35:AQ39), ISBLANK(AA35:AA39),ISBLANK(AY35:AY39)), "·", bdRateExtend( S35:S39,AA35:AA39, AQ35:AQ39,AY35:AY39))</f>
        <v>·</v>
      </c>
      <c r="BV35" s="51" t="e">
        <f t="shared" si="25"/>
        <v>#DIV/0!</v>
      </c>
      <c r="BW35" s="51" t="e">
        <f t="shared" si="25"/>
        <v>#DIV/0!</v>
      </c>
      <c r="BX35" s="51" t="e">
        <f t="shared" si="25"/>
        <v>#DIV/0!</v>
      </c>
      <c r="BY35" s="51" t="e">
        <f t="shared" si="16"/>
        <v>#DIV/0!</v>
      </c>
      <c r="BZ35" s="55"/>
      <c r="CA35" s="51"/>
      <c r="CC35" s="57"/>
    </row>
    <row r="36" spans="1:81" outlineLevel="1" x14ac:dyDescent="0.15">
      <c r="A36" s="11"/>
      <c r="B36" s="11" t="s">
        <v>29</v>
      </c>
      <c r="C36" s="12" t="s">
        <v>145</v>
      </c>
      <c r="D36" s="11">
        <v>333190689</v>
      </c>
      <c r="E36" s="12">
        <v>11</v>
      </c>
      <c r="F36" s="12">
        <v>32</v>
      </c>
      <c r="G36" s="12">
        <v>30</v>
      </c>
      <c r="I36" s="13" t="str">
        <f t="shared" si="0"/>
        <v>·</v>
      </c>
      <c r="J36" s="14" t="str">
        <f t="shared" si="1"/>
        <v>·</v>
      </c>
      <c r="K36" s="14" t="str">
        <f t="shared" si="2"/>
        <v>·</v>
      </c>
      <c r="L36" s="14" t="str">
        <f t="shared" si="3"/>
        <v>·</v>
      </c>
      <c r="M36" s="14" t="str">
        <f t="shared" si="4"/>
        <v>·</v>
      </c>
      <c r="N36" s="11" t="str">
        <f t="shared" si="5"/>
        <v/>
      </c>
      <c r="O36" s="14">
        <v>-12</v>
      </c>
      <c r="P36" s="15">
        <v>79893061</v>
      </c>
      <c r="Q36" s="15">
        <v>2496658.15625</v>
      </c>
      <c r="R36" s="15">
        <v>39014.28125</v>
      </c>
      <c r="S36" s="16"/>
      <c r="T36" s="16"/>
      <c r="U36" s="16"/>
      <c r="V36" s="16"/>
      <c r="W36" s="17"/>
      <c r="X36" s="17"/>
      <c r="Y36" s="17"/>
      <c r="Z36" s="17"/>
      <c r="AA36" s="17"/>
      <c r="AB36" s="18"/>
      <c r="AC36" s="18"/>
      <c r="AD36" s="18"/>
      <c r="AE36" s="18"/>
      <c r="AG36" s="13" t="str">
        <f t="shared" si="6"/>
        <v>·</v>
      </c>
      <c r="AH36" s="14" t="str">
        <f t="shared" si="7"/>
        <v>·</v>
      </c>
      <c r="AI36" s="14" t="str">
        <f t="shared" si="8"/>
        <v>·</v>
      </c>
      <c r="AJ36" s="14" t="str">
        <f t="shared" si="9"/>
        <v>·</v>
      </c>
      <c r="AK36" s="14" t="str">
        <f t="shared" si="10"/>
        <v>·</v>
      </c>
      <c r="AL36" s="11" t="str">
        <f t="shared" si="11"/>
        <v/>
      </c>
      <c r="AM36" s="14">
        <v>-12</v>
      </c>
      <c r="AN36" s="15"/>
      <c r="AO36" s="15"/>
      <c r="AP36" s="15"/>
      <c r="AQ36" s="16"/>
      <c r="AR36" s="16"/>
      <c r="AS36" s="16"/>
      <c r="AT36" s="16"/>
      <c r="AU36" s="17"/>
      <c r="AV36" s="17"/>
      <c r="AW36" s="17"/>
      <c r="AX36" s="17"/>
      <c r="AY36" s="17"/>
      <c r="AZ36" s="18"/>
      <c r="BA36" s="18"/>
      <c r="BB36" s="18"/>
      <c r="BC36" s="18"/>
      <c r="BE36" s="43" t="e">
        <f t="shared" si="12"/>
        <v>#VALUE!</v>
      </c>
      <c r="BF36" s="19" t="e">
        <f t="shared" si="13"/>
        <v>#DIV/0!</v>
      </c>
      <c r="BG36" s="19" t="e">
        <f t="shared" si="14"/>
        <v>#VALUE!</v>
      </c>
      <c r="BH36" s="19"/>
      <c r="BJ36" s="43"/>
      <c r="BK36" s="43"/>
      <c r="BL36" s="43"/>
      <c r="BM36" s="43"/>
      <c r="BN36" s="43"/>
      <c r="BP36" s="43"/>
      <c r="BQ36" s="43"/>
      <c r="BR36" s="43"/>
      <c r="BS36" s="43"/>
      <c r="BT36" s="43"/>
      <c r="BV36" s="51" t="e">
        <f t="shared" si="25"/>
        <v>#DIV/0!</v>
      </c>
      <c r="BW36" s="51" t="e">
        <f t="shared" si="25"/>
        <v>#DIV/0!</v>
      </c>
      <c r="BX36" s="51" t="e">
        <f t="shared" si="25"/>
        <v>#DIV/0!</v>
      </c>
      <c r="BY36" s="51" t="e">
        <f t="shared" si="16"/>
        <v>#DIV/0!</v>
      </c>
      <c r="BZ36" s="55"/>
      <c r="CA36" s="51"/>
      <c r="CC36" s="57"/>
    </row>
    <row r="37" spans="1:81" outlineLevel="1" x14ac:dyDescent="0.15">
      <c r="A37" s="46"/>
      <c r="B37" s="46" t="s">
        <v>29</v>
      </c>
      <c r="C37" s="3" t="s">
        <v>146</v>
      </c>
      <c r="D37" s="46">
        <v>333190689</v>
      </c>
      <c r="E37" s="3">
        <v>11</v>
      </c>
      <c r="F37" s="3">
        <v>32</v>
      </c>
      <c r="G37" s="3">
        <v>30</v>
      </c>
      <c r="I37" s="4" t="str">
        <f t="shared" si="0"/>
        <v>·</v>
      </c>
      <c r="J37" s="5" t="str">
        <f t="shared" si="1"/>
        <v>·</v>
      </c>
      <c r="K37" s="5" t="str">
        <f t="shared" si="2"/>
        <v>·</v>
      </c>
      <c r="L37" s="5" t="str">
        <f t="shared" si="3"/>
        <v>·</v>
      </c>
      <c r="M37" s="5" t="str">
        <f t="shared" si="4"/>
        <v>·</v>
      </c>
      <c r="N37" s="46" t="str">
        <f t="shared" si="5"/>
        <v/>
      </c>
      <c r="O37" s="5">
        <v>-12</v>
      </c>
      <c r="P37" s="6">
        <v>81688385</v>
      </c>
      <c r="Q37" s="6">
        <v>2552762.03125</v>
      </c>
      <c r="R37" s="6">
        <v>42067.1875</v>
      </c>
      <c r="S37" s="7"/>
      <c r="T37" s="7"/>
      <c r="U37" s="7"/>
      <c r="V37" s="7"/>
      <c r="W37" s="8"/>
      <c r="X37" s="8"/>
      <c r="Y37" s="8"/>
      <c r="Z37" s="8"/>
      <c r="AA37" s="8"/>
      <c r="AB37" s="9"/>
      <c r="AC37" s="9"/>
      <c r="AD37" s="9"/>
      <c r="AE37" s="9"/>
      <c r="AG37" s="4" t="str">
        <f t="shared" si="6"/>
        <v>·</v>
      </c>
      <c r="AH37" s="5" t="str">
        <f t="shared" si="7"/>
        <v>·</v>
      </c>
      <c r="AI37" s="5" t="str">
        <f t="shared" si="8"/>
        <v>·</v>
      </c>
      <c r="AJ37" s="5" t="str">
        <f t="shared" si="9"/>
        <v>·</v>
      </c>
      <c r="AK37" s="5" t="str">
        <f t="shared" si="10"/>
        <v>·</v>
      </c>
      <c r="AL37" s="46" t="str">
        <f t="shared" si="11"/>
        <v/>
      </c>
      <c r="AM37" s="5">
        <v>-12</v>
      </c>
      <c r="AN37" s="6"/>
      <c r="AO37" s="6"/>
      <c r="AP37" s="6"/>
      <c r="AQ37" s="7"/>
      <c r="AR37" s="7"/>
      <c r="AS37" s="7"/>
      <c r="AT37" s="7"/>
      <c r="AU37" s="8"/>
      <c r="AV37" s="8"/>
      <c r="AW37" s="8"/>
      <c r="AX37" s="8"/>
      <c r="AY37" s="8"/>
      <c r="AZ37" s="9"/>
      <c r="BA37" s="9"/>
      <c r="BB37" s="9"/>
      <c r="BC37" s="9"/>
      <c r="BE37" s="44" t="e">
        <f t="shared" si="12"/>
        <v>#VALUE!</v>
      </c>
      <c r="BF37" s="10" t="e">
        <f t="shared" si="13"/>
        <v>#DIV/0!</v>
      </c>
      <c r="BG37" s="10" t="e">
        <f t="shared" si="14"/>
        <v>#VALUE!</v>
      </c>
      <c r="BH37" s="10"/>
      <c r="BJ37" s="44"/>
      <c r="BK37" s="44"/>
      <c r="BL37" s="44"/>
      <c r="BM37" s="44"/>
      <c r="BN37" s="44"/>
      <c r="BP37" s="44"/>
      <c r="BQ37" s="44"/>
      <c r="BR37" s="44"/>
      <c r="BS37" s="44"/>
      <c r="BT37" s="44"/>
      <c r="BV37" s="51" t="e">
        <f t="shared" si="25"/>
        <v>#DIV/0!</v>
      </c>
      <c r="BW37" s="51" t="e">
        <f t="shared" si="25"/>
        <v>#DIV/0!</v>
      </c>
      <c r="BX37" s="51" t="e">
        <f t="shared" si="25"/>
        <v>#DIV/0!</v>
      </c>
      <c r="BY37" s="51" t="e">
        <f t="shared" si="16"/>
        <v>#DIV/0!</v>
      </c>
      <c r="BZ37" s="55"/>
      <c r="CA37" s="51"/>
      <c r="CC37" s="57"/>
    </row>
    <row r="38" spans="1:81" outlineLevel="1" x14ac:dyDescent="0.15">
      <c r="A38" s="11"/>
      <c r="B38" s="11" t="s">
        <v>29</v>
      </c>
      <c r="C38" s="12" t="s">
        <v>147</v>
      </c>
      <c r="D38" s="11">
        <v>333190689</v>
      </c>
      <c r="E38" s="12">
        <v>11</v>
      </c>
      <c r="F38" s="12">
        <v>32</v>
      </c>
      <c r="G38" s="12">
        <v>30</v>
      </c>
      <c r="I38" s="13" t="str">
        <f t="shared" si="0"/>
        <v>·</v>
      </c>
      <c r="J38" s="14" t="str">
        <f t="shared" si="1"/>
        <v>·</v>
      </c>
      <c r="K38" s="14" t="str">
        <f t="shared" si="2"/>
        <v>·</v>
      </c>
      <c r="L38" s="14" t="str">
        <f t="shared" si="3"/>
        <v>·</v>
      </c>
      <c r="M38" s="14" t="str">
        <f t="shared" si="4"/>
        <v>·</v>
      </c>
      <c r="N38" s="11" t="str">
        <f t="shared" si="5"/>
        <v/>
      </c>
      <c r="O38" s="14">
        <v>-12</v>
      </c>
      <c r="P38" s="15">
        <v>83757654</v>
      </c>
      <c r="Q38" s="15">
        <v>2617426.6875</v>
      </c>
      <c r="R38" s="15">
        <v>46922.8125</v>
      </c>
      <c r="S38" s="16"/>
      <c r="T38" s="16"/>
      <c r="U38" s="16"/>
      <c r="V38" s="16"/>
      <c r="W38" s="17"/>
      <c r="X38" s="17"/>
      <c r="Y38" s="17"/>
      <c r="Z38" s="17"/>
      <c r="AA38" s="17"/>
      <c r="AB38" s="18"/>
      <c r="AC38" s="18"/>
      <c r="AD38" s="18"/>
      <c r="AE38" s="18"/>
      <c r="AG38" s="13" t="str">
        <f t="shared" si="6"/>
        <v>·</v>
      </c>
      <c r="AH38" s="14" t="str">
        <f t="shared" si="7"/>
        <v>·</v>
      </c>
      <c r="AI38" s="14" t="str">
        <f t="shared" si="8"/>
        <v>·</v>
      </c>
      <c r="AJ38" s="14" t="str">
        <f t="shared" si="9"/>
        <v>·</v>
      </c>
      <c r="AK38" s="14" t="str">
        <f t="shared" si="10"/>
        <v>·</v>
      </c>
      <c r="AL38" s="11" t="str">
        <f t="shared" si="11"/>
        <v/>
      </c>
      <c r="AM38" s="14">
        <v>-12</v>
      </c>
      <c r="AN38" s="15"/>
      <c r="AO38" s="15"/>
      <c r="AP38" s="15"/>
      <c r="AQ38" s="16"/>
      <c r="AR38" s="16"/>
      <c r="AS38" s="16"/>
      <c r="AT38" s="16"/>
      <c r="AU38" s="17"/>
      <c r="AV38" s="17"/>
      <c r="AW38" s="17"/>
      <c r="AX38" s="17"/>
      <c r="AY38" s="17"/>
      <c r="AZ38" s="18"/>
      <c r="BA38" s="18"/>
      <c r="BB38" s="18"/>
      <c r="BC38" s="18"/>
      <c r="BE38" s="43" t="e">
        <f t="shared" si="12"/>
        <v>#VALUE!</v>
      </c>
      <c r="BF38" s="19" t="e">
        <f t="shared" si="13"/>
        <v>#DIV/0!</v>
      </c>
      <c r="BG38" s="19" t="e">
        <f t="shared" si="14"/>
        <v>#VALUE!</v>
      </c>
      <c r="BH38" s="19"/>
      <c r="BJ38" s="43"/>
      <c r="BK38" s="43"/>
      <c r="BL38" s="43"/>
      <c r="BM38" s="43"/>
      <c r="BN38" s="43"/>
      <c r="BP38" s="43"/>
      <c r="BQ38" s="43"/>
      <c r="BR38" s="43"/>
      <c r="BS38" s="43"/>
      <c r="BT38" s="43"/>
      <c r="BV38" s="51" t="e">
        <f t="shared" si="25"/>
        <v>#DIV/0!</v>
      </c>
      <c r="BW38" s="51" t="e">
        <f t="shared" si="25"/>
        <v>#DIV/0!</v>
      </c>
      <c r="BX38" s="51" t="e">
        <f t="shared" si="25"/>
        <v>#DIV/0!</v>
      </c>
      <c r="BY38" s="51" t="e">
        <f t="shared" si="16"/>
        <v>#DIV/0!</v>
      </c>
      <c r="BZ38" s="54"/>
      <c r="CC38" s="57"/>
    </row>
    <row r="39" spans="1:81" ht="14.25" outlineLevel="1" thickBot="1" x14ac:dyDescent="0.2">
      <c r="A39" s="20"/>
      <c r="B39" s="20" t="s">
        <v>29</v>
      </c>
      <c r="C39" s="21" t="s">
        <v>148</v>
      </c>
      <c r="D39" s="20">
        <v>333190689</v>
      </c>
      <c r="E39" s="21">
        <v>11</v>
      </c>
      <c r="F39" s="21">
        <v>32</v>
      </c>
      <c r="G39" s="21">
        <v>30</v>
      </c>
      <c r="I39" s="22" t="str">
        <f t="shared" si="0"/>
        <v>·</v>
      </c>
      <c r="J39" s="23" t="str">
        <f t="shared" si="1"/>
        <v>·</v>
      </c>
      <c r="K39" s="23" t="str">
        <f t="shared" si="2"/>
        <v>·</v>
      </c>
      <c r="L39" s="23" t="str">
        <f t="shared" si="3"/>
        <v>·</v>
      </c>
      <c r="M39" s="23" t="str">
        <f t="shared" si="4"/>
        <v>·</v>
      </c>
      <c r="N39" s="20" t="str">
        <f t="shared" si="5"/>
        <v/>
      </c>
      <c r="O39" s="23">
        <v>-12</v>
      </c>
      <c r="P39" s="24">
        <v>81959857</v>
      </c>
      <c r="Q39" s="24">
        <v>2561245.53125</v>
      </c>
      <c r="R39" s="24">
        <v>18607.15625</v>
      </c>
      <c r="S39" s="25"/>
      <c r="T39" s="25"/>
      <c r="U39" s="25"/>
      <c r="V39" s="25"/>
      <c r="W39" s="26"/>
      <c r="X39" s="26"/>
      <c r="Y39" s="26"/>
      <c r="Z39" s="26"/>
      <c r="AA39" s="26"/>
      <c r="AB39" s="27"/>
      <c r="AC39" s="27"/>
      <c r="AD39" s="27"/>
      <c r="AE39" s="27"/>
      <c r="AG39" s="22" t="str">
        <f t="shared" si="6"/>
        <v>·</v>
      </c>
      <c r="AH39" s="23" t="str">
        <f t="shared" si="7"/>
        <v>·</v>
      </c>
      <c r="AI39" s="23" t="str">
        <f t="shared" si="8"/>
        <v>·</v>
      </c>
      <c r="AJ39" s="23" t="str">
        <f t="shared" si="9"/>
        <v>·</v>
      </c>
      <c r="AK39" s="23" t="str">
        <f t="shared" si="10"/>
        <v>·</v>
      </c>
      <c r="AL39" s="20" t="str">
        <f t="shared" si="11"/>
        <v/>
      </c>
      <c r="AM39" s="23">
        <v>-12</v>
      </c>
      <c r="AN39" s="24"/>
      <c r="AO39" s="24"/>
      <c r="AP39" s="24"/>
      <c r="AQ39" s="25"/>
      <c r="AR39" s="25"/>
      <c r="AS39" s="25"/>
      <c r="AT39" s="25"/>
      <c r="AU39" s="26"/>
      <c r="AV39" s="26"/>
      <c r="AW39" s="26"/>
      <c r="AX39" s="26"/>
      <c r="AY39" s="26"/>
      <c r="AZ39" s="27"/>
      <c r="BA39" s="27"/>
      <c r="BB39" s="27"/>
      <c r="BC39" s="27"/>
      <c r="BE39" s="28" t="e">
        <f t="shared" si="12"/>
        <v>#VALUE!</v>
      </c>
      <c r="BF39" s="29" t="e">
        <f t="shared" si="13"/>
        <v>#DIV/0!</v>
      </c>
      <c r="BG39" s="29" t="e">
        <f t="shared" si="14"/>
        <v>#VALUE!</v>
      </c>
      <c r="BH39" s="29"/>
      <c r="BJ39" s="28"/>
      <c r="BK39" s="28"/>
      <c r="BL39" s="28"/>
      <c r="BM39" s="28"/>
      <c r="BN39" s="28"/>
      <c r="BP39" s="28"/>
      <c r="BQ39" s="28"/>
      <c r="BR39" s="28"/>
      <c r="BS39" s="28"/>
      <c r="BT39" s="28"/>
      <c r="BV39" s="52" t="e">
        <f t="shared" si="25"/>
        <v>#DIV/0!</v>
      </c>
      <c r="BW39" s="52" t="e">
        <f t="shared" si="25"/>
        <v>#DIV/0!</v>
      </c>
      <c r="BX39" s="52" t="e">
        <f t="shared" si="25"/>
        <v>#DIV/0!</v>
      </c>
      <c r="BY39" s="52" t="e">
        <f t="shared" si="16"/>
        <v>#DIV/0!</v>
      </c>
      <c r="BZ39" s="54"/>
      <c r="CC39" s="57"/>
    </row>
    <row r="40" spans="1:81" x14ac:dyDescent="0.15">
      <c r="B40" s="40" t="s">
        <v>9</v>
      </c>
      <c r="J40" s="41">
        <f>AVERAGE(J5:J24)</f>
        <v>4.4208546081002734E-2</v>
      </c>
      <c r="K40" s="41">
        <f>AVERAGE(K5:K24)</f>
        <v>1.3836094495758086E-2</v>
      </c>
      <c r="L40" s="41">
        <f>AVERAGE(L5:L24)</f>
        <v>9.6969495541967075E-3</v>
      </c>
      <c r="M40" s="41">
        <f>AVERAGE(M5:M24)</f>
        <v>3.0372451585244636E-2</v>
      </c>
      <c r="AH40" s="41">
        <f>AVERAGE(AH5:AH24)</f>
        <v>4.4344441387725052E-2</v>
      </c>
      <c r="AI40" s="41">
        <f>AVERAGE(AI5:AI24)</f>
        <v>1.3952566901819239E-2</v>
      </c>
      <c r="AJ40" s="41">
        <f>AVERAGE(AJ5:AJ24)</f>
        <v>9.8134219602578603E-3</v>
      </c>
      <c r="AK40" s="41">
        <f>AVERAGE(AK5:AK24)</f>
        <v>3.0391874485905811E-2</v>
      </c>
      <c r="BE40" s="45">
        <f t="shared" si="12"/>
        <v>1.008418011751572</v>
      </c>
      <c r="BH40" s="47">
        <f>AVERAGE(BH5:BH24)</f>
        <v>2.2463936080411584E-3</v>
      </c>
      <c r="BJ40" s="45">
        <f>AVERAGE(BJ5:BJ24)</f>
        <v>1.4817848388677557E-2</v>
      </c>
      <c r="BK40" s="45">
        <f>AVERAGE(BK5:BK24)</f>
        <v>1.7667184016349202E-2</v>
      </c>
      <c r="BL40" s="45">
        <f>AVERAGE(BL5:BL24)</f>
        <v>2.3311285175532104E-2</v>
      </c>
      <c r="BM40" s="45">
        <f>AVERAGE(BM5:BM24)</f>
        <v>-1.9542328300769213E-2</v>
      </c>
      <c r="BN40" s="45">
        <f>AVERAGE(BN5:BN24)</f>
        <v>-9.4078986773963869E-3</v>
      </c>
      <c r="BP40" s="45">
        <f>AVERAGE(BP5:BP24)</f>
        <v>1.1962808220483068E-2</v>
      </c>
      <c r="BQ40" s="45">
        <f>AVERAGE(BQ5:BQ24)</f>
        <v>1.7389047853020201E-2</v>
      </c>
      <c r="BR40" s="45">
        <f>AVERAGE(BR5:BR24)</f>
        <v>2.1118861083893548E-2</v>
      </c>
      <c r="BS40" s="45">
        <f>AVERAGE(BS5:BS24)</f>
        <v>-1.1875163753224643E-2</v>
      </c>
      <c r="BT40" s="45">
        <f>AVERAGE(BT5:BT24)</f>
        <v>-4.2792731896203751E-3</v>
      </c>
      <c r="BV40" s="51">
        <f>AVERAGE(BV5:BV29)</f>
        <v>0.64762079428576769</v>
      </c>
      <c r="BW40" s="51">
        <f t="shared" ref="BW40:BX40" si="29">AVERAGE(BW5:BW29)</f>
        <v>0.63773998940177012</v>
      </c>
      <c r="BX40" s="51">
        <f t="shared" si="29"/>
        <v>0.38936077481749665</v>
      </c>
      <c r="BY40" s="59">
        <f>AVERAGE(BV40:BW40)</f>
        <v>0.64268039184376891</v>
      </c>
      <c r="BZ40" s="54"/>
      <c r="CB40" s="51"/>
      <c r="CC40" s="58"/>
    </row>
    <row r="41" spans="1:81" x14ac:dyDescent="0.15">
      <c r="B41" s="40" t="s">
        <v>10</v>
      </c>
      <c r="J41" s="41">
        <f>AVERAGE(J25:J29)</f>
        <v>7.9821412994069529E-2</v>
      </c>
      <c r="K41" s="41">
        <f>AVERAGE(K25:K29)</f>
        <v>1.2343170896124311E-2</v>
      </c>
      <c r="L41" s="41">
        <f>AVERAGE(L25:L29)</f>
        <v>9.0938284872662568E-3</v>
      </c>
      <c r="M41" s="41">
        <f>AVERAGE(M25:M29)</f>
        <v>6.7478242097945215E-2</v>
      </c>
      <c r="AH41" s="41">
        <f>AVERAGE(AH25:AH29)</f>
        <v>7.9980444802436851E-2</v>
      </c>
      <c r="AI41" s="41">
        <f>AVERAGE(AI25:AI29)</f>
        <v>1.2448870347501171E-2</v>
      </c>
      <c r="AJ41" s="41">
        <f>AVERAGE(AJ25:AJ29)</f>
        <v>9.1995279386431154E-3</v>
      </c>
      <c r="AK41" s="41">
        <f>AVERAGE(AK25:AK29)</f>
        <v>6.7531574454935669E-2</v>
      </c>
      <c r="BE41" s="45">
        <f t="shared" si="12"/>
        <v>1.0085633952787649</v>
      </c>
      <c r="BH41" s="47">
        <f>AVERAGE(BH25:BH29)</f>
        <v>1.3744116073556578E-3</v>
      </c>
      <c r="BJ41" s="45">
        <f>AVERAGE(BJ25:BJ29)</f>
        <v>1.387654197322119E-2</v>
      </c>
      <c r="BK41" s="45">
        <f>AVERAGE(BK25:BK29)</f>
        <v>2.0729944803891343E-2</v>
      </c>
      <c r="BL41" s="45">
        <f>AVERAGE(BL25:BL29)</f>
        <v>1.2448665223594224E-2</v>
      </c>
      <c r="BM41" s="45">
        <f>AVERAGE(BM25:BM29)</f>
        <v>1.3093782923778052E-2</v>
      </c>
      <c r="BN41" s="45">
        <f>AVERAGE(BN25:BN29)</f>
        <v>1.8812420185985612E-2</v>
      </c>
      <c r="BP41" s="45">
        <f>AVERAGE(BP25:BP29)</f>
        <v>1.2134268961732309E-2</v>
      </c>
      <c r="BQ41" s="45">
        <f>AVERAGE(BQ25:BQ29)</f>
        <v>2.6566429240605816E-2</v>
      </c>
      <c r="BR41" s="45">
        <f>AVERAGE(BR25:BR29)</f>
        <v>1.2359111439551818E-2</v>
      </c>
      <c r="BS41" s="45">
        <f>AVERAGE(BS25:BS29)</f>
        <v>1.2706310491876538E-2</v>
      </c>
      <c r="BT41" s="45">
        <f>AVERAGE(BT25:BT29)</f>
        <v>1.7404711122167571E-2</v>
      </c>
    </row>
    <row r="42" spans="1:81" x14ac:dyDescent="0.15">
      <c r="B42" s="40" t="s">
        <v>11</v>
      </c>
      <c r="J42" s="41" t="e">
        <f>AVERAGE(J30:J39)</f>
        <v>#DIV/0!</v>
      </c>
      <c r="K42" s="41" t="e">
        <f>AVERAGE(K30:K39)</f>
        <v>#DIV/0!</v>
      </c>
      <c r="L42" s="41" t="e">
        <f>AVERAGE(L30:L39)</f>
        <v>#DIV/0!</v>
      </c>
      <c r="M42" s="41" t="e">
        <f>AVERAGE(M30:M39)</f>
        <v>#DIV/0!</v>
      </c>
      <c r="AH42" s="41" t="e">
        <f>AVERAGE(AH30:AH39)</f>
        <v>#DIV/0!</v>
      </c>
      <c r="AI42" s="41" t="e">
        <f>AVERAGE(AI30:AI39)</f>
        <v>#DIV/0!</v>
      </c>
      <c r="AJ42" s="41" t="e">
        <f>AVERAGE(AJ30:AJ39)</f>
        <v>#DIV/0!</v>
      </c>
      <c r="AK42" s="41" t="e">
        <f>AVERAGE(AK30:AK39)</f>
        <v>#DIV/0!</v>
      </c>
      <c r="BE42" s="45" t="e">
        <f t="shared" si="12"/>
        <v>#DIV/0!</v>
      </c>
      <c r="BH42" s="47" t="e">
        <f>AVERAGE(BH30:BH39)</f>
        <v>#VALUE!</v>
      </c>
      <c r="BJ42" s="45" t="e">
        <f>AVERAGE(BJ30:BJ39)</f>
        <v>#DIV/0!</v>
      </c>
      <c r="BK42" s="45" t="e">
        <f>AVERAGE(BK30:BK39)</f>
        <v>#DIV/0!</v>
      </c>
      <c r="BL42" s="45" t="e">
        <f>AVERAGE(BL30:BL39)</f>
        <v>#DIV/0!</v>
      </c>
      <c r="BM42" s="45" t="e">
        <f>AVERAGE(BM30:BM39)</f>
        <v>#DIV/0!</v>
      </c>
      <c r="BN42" s="45" t="e">
        <f>AVERAGE(BN30:BN39)</f>
        <v>#DIV/0!</v>
      </c>
      <c r="BP42" s="45" t="e">
        <f>AVERAGE(BP30:BP39)</f>
        <v>#DIV/0!</v>
      </c>
      <c r="BQ42" s="45" t="e">
        <f>AVERAGE(BQ30:BQ39)</f>
        <v>#DIV/0!</v>
      </c>
      <c r="BR42" s="45" t="e">
        <f>AVERAGE(BR30:BR39)</f>
        <v>#DIV/0!</v>
      </c>
      <c r="BS42" s="45" t="e">
        <f>AVERAGE(BS30:BS39)</f>
        <v>#DIV/0!</v>
      </c>
      <c r="BT42" s="45" t="e">
        <f>AVERAGE(BT30:BT39)</f>
        <v>#DIV/0!</v>
      </c>
    </row>
    <row r="43" spans="1:81" x14ac:dyDescent="0.15">
      <c r="B43" s="40" t="s">
        <v>12</v>
      </c>
      <c r="J43" s="41">
        <f>AVERAGE(J5:J39)</f>
        <v>5.1331119463616091E-2</v>
      </c>
      <c r="K43" s="41">
        <f>AVERAGE(K5:K39)</f>
        <v>1.3537509775831333E-2</v>
      </c>
      <c r="L43" s="41">
        <f>AVERAGE(L5:L39)</f>
        <v>9.5763253408106177E-3</v>
      </c>
      <c r="M43" s="41">
        <f>AVERAGE(M5:M39)</f>
        <v>3.7793609687784752E-2</v>
      </c>
      <c r="AH43" s="41">
        <f>AVERAGE(AH5:AH39)</f>
        <v>5.1471642070667414E-2</v>
      </c>
      <c r="AI43" s="41">
        <f>AVERAGE(AI5:AI39)</f>
        <v>1.3651827590955625E-2</v>
      </c>
      <c r="AJ43" s="41">
        <f>AVERAGE(AJ5:AJ39)</f>
        <v>9.6906431559349113E-3</v>
      </c>
      <c r="AK43" s="41">
        <f>AVERAGE(AK5:AK39)</f>
        <v>3.7819814479711791E-2</v>
      </c>
      <c r="BE43" s="45">
        <f t="shared" si="12"/>
        <v>1.0084445231816848</v>
      </c>
      <c r="BH43" s="47" t="e">
        <f>AVERAGE(BH5:BH39)</f>
        <v>#VALUE!</v>
      </c>
      <c r="BJ43" s="45">
        <f>AVERAGE(BJ5:BJ39)</f>
        <v>1.4629587105586284E-2</v>
      </c>
      <c r="BK43" s="45">
        <f>AVERAGE(BK5:BK39)</f>
        <v>1.8279736173857631E-2</v>
      </c>
      <c r="BL43" s="45">
        <f>AVERAGE(BL5:BL39)</f>
        <v>2.1138761185144527E-2</v>
      </c>
      <c r="BM43" s="45">
        <f>AVERAGE(BM5:BM39)</f>
        <v>-1.301510605585976E-2</v>
      </c>
      <c r="BN43" s="45">
        <f>AVERAGE(BN5:BN39)</f>
        <v>-3.7638349047199871E-3</v>
      </c>
      <c r="BP43" s="45">
        <f>AVERAGE(BP5:BP39)</f>
        <v>1.1997100368732916E-2</v>
      </c>
      <c r="BQ43" s="45">
        <f>AVERAGE(BQ5:BQ39)</f>
        <v>1.9224524130537324E-2</v>
      </c>
      <c r="BR43" s="45">
        <f>AVERAGE(BR5:BR39)</f>
        <v>1.9366911155025202E-2</v>
      </c>
      <c r="BS43" s="45">
        <f>AVERAGE(BS5:BS39)</f>
        <v>-6.9588689042044075E-3</v>
      </c>
      <c r="BT43" s="45">
        <f>AVERAGE(BT5:BT39)</f>
        <v>5.7523672737214146E-5</v>
      </c>
      <c r="BV43" s="51" t="e">
        <f>AVERAGE(BV5:BV39)</f>
        <v>#DIV/0!</v>
      </c>
      <c r="BW43" s="51" t="e">
        <f>AVERAGE(BW5:BW39)</f>
        <v>#DIV/0!</v>
      </c>
      <c r="BX43" s="51" t="e">
        <f t="shared" ref="BX43" si="30">AVERAGE(BX8:BX32)</f>
        <v>#DIV/0!</v>
      </c>
      <c r="BY43" s="51" t="e">
        <f>AVERAGE(BV43:BW43)</f>
        <v>#DIV/0!</v>
      </c>
      <c r="BZ43" s="51"/>
      <c r="CA43" s="51"/>
    </row>
    <row r="44" spans="1:81" hidden="1" outlineLevel="2" x14ac:dyDescent="0.15">
      <c r="A44" s="40" t="s">
        <v>151</v>
      </c>
      <c r="B44" s="40" t="s">
        <v>152</v>
      </c>
      <c r="AB44" s="42">
        <f>SUM(AB5:AB24,AB25:AB29,AB30:AB39)</f>
        <v>13583.588</v>
      </c>
      <c r="AC44" s="42">
        <f>SUM(AC5:AC24,AC25:AC29,AC30:AC39)</f>
        <v>12281.821999999998</v>
      </c>
      <c r="AD44" s="42">
        <f>SUM(AD5:AD24,AD25:AD29,AD30:AD39)</f>
        <v>42747.12999999999</v>
      </c>
      <c r="AE44" s="42">
        <f>SUM(AE5:AE24,AE25:AE29,AE30:AE39)</f>
        <v>256.86500000000001</v>
      </c>
      <c r="AZ44" s="42">
        <f>SUM(AZ5:AZ24,AZ25:AZ29,AZ30:AZ39)</f>
        <v>4925.4940000000006</v>
      </c>
      <c r="BA44" s="42">
        <f>SUM(BA5:BA24,BA25:BA29,BA30:BA39)</f>
        <v>4699.2680000000009</v>
      </c>
      <c r="BB44" s="42">
        <f>SUM(BB5:BB24,BB25:BB29,BB30:BB39)</f>
        <v>26461.336000000003</v>
      </c>
      <c r="BC44" s="42">
        <f>SUM(BC5:BC24,BC25:BC29,BC30:BC39)</f>
        <v>255.458</v>
      </c>
    </row>
    <row r="45" spans="1:81" hidden="1" outlineLevel="2" x14ac:dyDescent="0.15">
      <c r="B45" s="40" t="s">
        <v>153</v>
      </c>
      <c r="AZ45" s="47">
        <f>AZ44/AB44</f>
        <v>0.36260625690355158</v>
      </c>
      <c r="BA45" s="47">
        <f>BA44/AC44</f>
        <v>0.38261977742390352</v>
      </c>
      <c r="BB45" s="47">
        <f>BB44/AD44</f>
        <v>0.61902017749495719</v>
      </c>
      <c r="BC45" s="47">
        <f>BC44/AE44</f>
        <v>0.99452241449788792</v>
      </c>
    </row>
    <row r="46" spans="1:81" ht="27" hidden="1" outlineLevel="2" x14ac:dyDescent="0.15">
      <c r="B46" s="40" t="s">
        <v>154</v>
      </c>
      <c r="AB46" s="42">
        <f>GEOMEAN(AB5:AB24,AB25:AB29,AB30:AB39)</f>
        <v>539.64837334668141</v>
      </c>
      <c r="AC46" s="42">
        <f>GEOMEAN(AC5:AC24,AC25:AC29,AC30:AC39)</f>
        <v>485.97404488690677</v>
      </c>
      <c r="AD46" s="42">
        <f>GEOMEAN(AD5:AD24,AD25:AD29,AD30:AD39)</f>
        <v>1693.5332530839414</v>
      </c>
      <c r="AE46" s="42">
        <f>GEOMEAN(AE5:AE24,AE25:AE29,AE30:AE39)</f>
        <v>10.267166311101912</v>
      </c>
      <c r="AZ46" s="42">
        <f>GEOMEAN(AZ5:AZ24,AZ25:AZ29,AZ30:AZ39)</f>
        <v>182.85948024597312</v>
      </c>
      <c r="BA46" s="42">
        <f>GEOMEAN(BA5:BA24,BA25:BA29,BA30:BA39)</f>
        <v>163.9107986915391</v>
      </c>
      <c r="BB46" s="42">
        <f>GEOMEAN(BB5:BB24,BB25:BB29,BB30:BB39)</f>
        <v>1027.7068140909159</v>
      </c>
      <c r="BC46" s="42">
        <f>GEOMEAN(BC5:BC24,BC25:BC29,BC30:BC39)</f>
        <v>10.21099261862051</v>
      </c>
    </row>
    <row r="47" spans="1:81" ht="27" outlineLevel="2" collapsed="1" x14ac:dyDescent="0.15">
      <c r="B47" s="40" t="s">
        <v>155</v>
      </c>
      <c r="AZ47" s="47">
        <f>AZ46/AB46</f>
        <v>0.33884931239939153</v>
      </c>
      <c r="BA47" s="47">
        <f>BA46/AC46</f>
        <v>0.33728303068054494</v>
      </c>
      <c r="BB47" s="47">
        <f>BB46/AD46</f>
        <v>0.60684182741581916</v>
      </c>
      <c r="BC47" s="47">
        <f>BC46/AE46</f>
        <v>0.99452880271154653</v>
      </c>
    </row>
  </sheetData>
  <mergeCells count="45">
    <mergeCell ref="BP2:BQ2"/>
    <mergeCell ref="BR2:BT2"/>
    <mergeCell ref="BV2:BY2"/>
    <mergeCell ref="BZ2:CC2"/>
    <mergeCell ref="CD2:CF2"/>
    <mergeCell ref="BL2:BN2"/>
    <mergeCell ref="AP2:AP3"/>
    <mergeCell ref="AQ2:AT2"/>
    <mergeCell ref="AU2:AV2"/>
    <mergeCell ref="AW2:AY2"/>
    <mergeCell ref="AZ2:BA2"/>
    <mergeCell ref="BB2:BC2"/>
    <mergeCell ref="BE2:BE3"/>
    <mergeCell ref="BF2:BF3"/>
    <mergeCell ref="BG2:BG3"/>
    <mergeCell ref="BH2:BH3"/>
    <mergeCell ref="BJ2:BK2"/>
    <mergeCell ref="AO2:AO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Q2:Q3"/>
    <mergeCell ref="A1:G1"/>
    <mergeCell ref="I1:AE1"/>
    <mergeCell ref="AG1:BC1"/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</mergeCells>
  <phoneticPr fontId="2" type="noConversion"/>
  <conditionalFormatting sqref="BE5:BE43">
    <cfRule type="cellIs" dxfId="131" priority="1" operator="greaterThanOrEqual">
      <formula>1.03</formula>
    </cfRule>
    <cfRule type="cellIs" dxfId="130" priority="2" operator="lessThanOrEqual">
      <formula>0.97</formula>
    </cfRule>
  </conditionalFormatting>
  <conditionalFormatting sqref="BJ5:BJ43">
    <cfRule type="cellIs" dxfId="129" priority="21" operator="greaterThanOrEqual">
      <formula>0.03</formula>
    </cfRule>
    <cfRule type="cellIs" dxfId="128" priority="22" operator="lessThanOrEqual">
      <formula>-0.03</formula>
    </cfRule>
  </conditionalFormatting>
  <conditionalFormatting sqref="BK5:BK43">
    <cfRule type="cellIs" dxfId="127" priority="19" operator="greaterThanOrEqual">
      <formula>0.03</formula>
    </cfRule>
    <cfRule type="cellIs" dxfId="126" priority="20" operator="lessThanOrEqual">
      <formula>-0.03</formula>
    </cfRule>
  </conditionalFormatting>
  <conditionalFormatting sqref="BL5:BL43">
    <cfRule type="cellIs" dxfId="125" priority="5" operator="greaterThanOrEqual">
      <formula>0.03</formula>
    </cfRule>
    <cfRule type="cellIs" dxfId="124" priority="6" operator="lessThanOrEqual">
      <formula>-0.03</formula>
    </cfRule>
  </conditionalFormatting>
  <conditionalFormatting sqref="BM5:BM43">
    <cfRule type="cellIs" dxfId="123" priority="9" operator="greaterThanOrEqual">
      <formula>0.03</formula>
    </cfRule>
    <cfRule type="cellIs" dxfId="122" priority="10" operator="lessThanOrEqual">
      <formula>-0.03</formula>
    </cfRule>
  </conditionalFormatting>
  <conditionalFormatting sqref="BN5:BN43">
    <cfRule type="cellIs" dxfId="121" priority="11" operator="greaterThanOrEqual">
      <formula>0.03</formula>
    </cfRule>
    <cfRule type="cellIs" dxfId="120" priority="12" operator="lessThanOrEqual">
      <formula>-0.03</formula>
    </cfRule>
  </conditionalFormatting>
  <conditionalFormatting sqref="BP5:BP43">
    <cfRule type="cellIs" dxfId="119" priority="7" operator="greaterThanOrEqual">
      <formula>0.03</formula>
    </cfRule>
    <cfRule type="cellIs" dxfId="118" priority="8" operator="lessThanOrEqual">
      <formula>-0.03</formula>
    </cfRule>
  </conditionalFormatting>
  <conditionalFormatting sqref="BQ5:BQ43">
    <cfRule type="cellIs" dxfId="117" priority="13" operator="greaterThanOrEqual">
      <formula>0.03</formula>
    </cfRule>
    <cfRule type="cellIs" dxfId="116" priority="14" operator="lessThanOrEqual">
      <formula>-0.03</formula>
    </cfRule>
  </conditionalFormatting>
  <conditionalFormatting sqref="BR5:BR43">
    <cfRule type="cellIs" dxfId="115" priority="3" operator="greaterThanOrEqual">
      <formula>0.03</formula>
    </cfRule>
    <cfRule type="cellIs" dxfId="114" priority="4" operator="lessThanOrEqual">
      <formula>-0.03</formula>
    </cfRule>
  </conditionalFormatting>
  <conditionalFormatting sqref="BS5:BS43">
    <cfRule type="cellIs" dxfId="113" priority="15" operator="greaterThanOrEqual">
      <formula>0.03</formula>
    </cfRule>
    <cfRule type="cellIs" dxfId="112" priority="16" operator="lessThanOrEqual">
      <formula>-0.03</formula>
    </cfRule>
  </conditionalFormatting>
  <conditionalFormatting sqref="BT5:BT43">
    <cfRule type="cellIs" dxfId="111" priority="17" operator="greaterThanOrEqual">
      <formula>0.03</formula>
    </cfRule>
    <cfRule type="cellIs" dxfId="110" priority="1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118EA-B034-4752-A960-B61C749BBCCC}">
  <sheetPr>
    <outlinePr summaryBelow="0"/>
  </sheetPr>
  <dimension ref="A1:CF47"/>
  <sheetViews>
    <sheetView zoomScale="85" zoomScaleNormal="85" workbookViewId="0">
      <pane xSplit="2" ySplit="4" topLeftCell="BH5" activePane="bottomRight" state="frozen"/>
      <selection pane="topRight" activeCell="C1" sqref="C1"/>
      <selection pane="bottomLeft" activeCell="A5" sqref="A5"/>
      <selection pane="bottomRight" activeCell="BY40" sqref="BY40"/>
    </sheetView>
  </sheetViews>
  <sheetFormatPr defaultRowHeight="13.5" outlineLevelRow="2" x14ac:dyDescent="0.15"/>
  <cols>
    <col min="2" max="2" width="24.75" customWidth="1"/>
    <col min="4" max="5" width="10.75" customWidth="1"/>
    <col min="8" max="8" width="1.75" customWidth="1"/>
    <col min="10" max="13" width="10.75" customWidth="1"/>
    <col min="14" max="14" width="24.75" hidden="1" customWidth="1"/>
    <col min="15" max="15" width="12.75" customWidth="1"/>
    <col min="16" max="16" width="10.75" customWidth="1"/>
    <col min="19" max="22" width="12.75" customWidth="1"/>
    <col min="23" max="27" width="11.75" customWidth="1"/>
    <col min="32" max="32" width="1.75" customWidth="1"/>
    <col min="34" max="37" width="10.75" customWidth="1"/>
    <col min="38" max="38" width="24.75" hidden="1" customWidth="1"/>
    <col min="39" max="39" width="12.75" customWidth="1"/>
    <col min="40" max="40" width="10.75" customWidth="1"/>
    <col min="43" max="46" width="12.75" customWidth="1"/>
    <col min="47" max="51" width="11.75" customWidth="1"/>
    <col min="56" max="56" width="1.75" customWidth="1"/>
    <col min="61" max="61" width="1.75" customWidth="1"/>
    <col min="64" max="66" width="11.75" customWidth="1"/>
    <col min="67" max="67" width="1.75" customWidth="1"/>
    <col min="70" max="72" width="11.75" customWidth="1"/>
    <col min="73" max="73" width="1.75" customWidth="1"/>
    <col min="74" max="74" width="10.75" bestFit="1" customWidth="1"/>
    <col min="75" max="75" width="12" bestFit="1" customWidth="1"/>
    <col min="76" max="76" width="10.625" customWidth="1"/>
    <col min="77" max="79" width="11.25" customWidth="1"/>
    <col min="82" max="84" width="9" style="51"/>
  </cols>
  <sheetData>
    <row r="1" spans="1:84" x14ac:dyDescent="0.15">
      <c r="A1" s="70" t="s">
        <v>50</v>
      </c>
      <c r="B1" s="62"/>
      <c r="C1" s="62"/>
      <c r="D1" s="62"/>
      <c r="E1" s="62"/>
      <c r="F1" s="62"/>
      <c r="G1" s="62"/>
      <c r="I1" s="71" t="e">
        <f>#REF!</f>
        <v>#REF!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G1" s="72" t="e">
        <f>#REF!</f>
        <v>#REF!</v>
      </c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</row>
    <row r="2" spans="1:84" ht="30" customHeight="1" thickBot="1" x14ac:dyDescent="0.2">
      <c r="A2" s="69" t="s">
        <v>51</v>
      </c>
      <c r="B2" s="67" t="s">
        <v>52</v>
      </c>
      <c r="C2" s="69" t="s">
        <v>53</v>
      </c>
      <c r="D2" s="67" t="s">
        <v>54</v>
      </c>
      <c r="E2" s="69" t="s">
        <v>55</v>
      </c>
      <c r="F2" s="67" t="s">
        <v>56</v>
      </c>
      <c r="G2" s="69" t="s">
        <v>57</v>
      </c>
      <c r="I2" s="67" t="s">
        <v>58</v>
      </c>
      <c r="J2" s="63" t="s">
        <v>59</v>
      </c>
      <c r="K2" s="62"/>
      <c r="L2" s="62"/>
      <c r="M2" s="62"/>
      <c r="N2" s="69" t="s">
        <v>60</v>
      </c>
      <c r="O2" s="67" t="s">
        <v>61</v>
      </c>
      <c r="P2" s="69" t="s">
        <v>33</v>
      </c>
      <c r="Q2" s="67" t="s">
        <v>35</v>
      </c>
      <c r="R2" s="69" t="s">
        <v>31</v>
      </c>
      <c r="S2" s="61" t="s">
        <v>62</v>
      </c>
      <c r="T2" s="62"/>
      <c r="U2" s="62"/>
      <c r="V2" s="62"/>
      <c r="W2" s="63" t="s">
        <v>63</v>
      </c>
      <c r="X2" s="62"/>
      <c r="Y2" s="61" t="s">
        <v>64</v>
      </c>
      <c r="Z2" s="62"/>
      <c r="AA2" s="62"/>
      <c r="AB2" s="63" t="s">
        <v>65</v>
      </c>
      <c r="AC2" s="62"/>
      <c r="AD2" s="61" t="s">
        <v>66</v>
      </c>
      <c r="AE2" s="62"/>
      <c r="AG2" s="69" t="s">
        <v>58</v>
      </c>
      <c r="AH2" s="61" t="s">
        <v>59</v>
      </c>
      <c r="AI2" s="62"/>
      <c r="AJ2" s="62"/>
      <c r="AK2" s="62"/>
      <c r="AL2" s="67" t="s">
        <v>67</v>
      </c>
      <c r="AM2" s="69" t="s">
        <v>61</v>
      </c>
      <c r="AN2" s="67" t="s">
        <v>33</v>
      </c>
      <c r="AO2" s="69" t="s">
        <v>35</v>
      </c>
      <c r="AP2" s="67" t="s">
        <v>31</v>
      </c>
      <c r="AQ2" s="63" t="s">
        <v>62</v>
      </c>
      <c r="AR2" s="62"/>
      <c r="AS2" s="62"/>
      <c r="AT2" s="62"/>
      <c r="AU2" s="61" t="s">
        <v>63</v>
      </c>
      <c r="AV2" s="62"/>
      <c r="AW2" s="63" t="s">
        <v>64</v>
      </c>
      <c r="AX2" s="62"/>
      <c r="AY2" s="62"/>
      <c r="AZ2" s="61" t="s">
        <v>65</v>
      </c>
      <c r="BA2" s="62"/>
      <c r="BB2" s="63" t="s">
        <v>66</v>
      </c>
      <c r="BC2" s="62"/>
      <c r="BE2" s="67" t="s">
        <v>68</v>
      </c>
      <c r="BF2" s="69" t="s">
        <v>69</v>
      </c>
      <c r="BG2" s="67" t="s">
        <v>70</v>
      </c>
      <c r="BH2" s="69" t="s">
        <v>70</v>
      </c>
      <c r="BJ2" s="61" t="s">
        <v>0</v>
      </c>
      <c r="BK2" s="62"/>
      <c r="BL2" s="63" t="s">
        <v>1</v>
      </c>
      <c r="BM2" s="62"/>
      <c r="BN2" s="62"/>
      <c r="BP2" s="61" t="s">
        <v>2</v>
      </c>
      <c r="BQ2" s="62"/>
      <c r="BR2" s="63" t="s">
        <v>3</v>
      </c>
      <c r="BS2" s="62"/>
      <c r="BT2" s="62"/>
      <c r="BV2" s="64" t="s">
        <v>478</v>
      </c>
      <c r="BW2" s="64"/>
      <c r="BX2" s="64"/>
      <c r="BY2" s="64"/>
      <c r="BZ2" s="66" t="s">
        <v>481</v>
      </c>
      <c r="CA2" s="66"/>
      <c r="CB2" s="66"/>
      <c r="CC2" s="66"/>
      <c r="CD2" s="65" t="s">
        <v>484</v>
      </c>
      <c r="CE2" s="64"/>
      <c r="CF2" s="64"/>
    </row>
    <row r="3" spans="1:84" ht="14.25" thickBot="1" x14ac:dyDescent="0.2">
      <c r="A3" s="68"/>
      <c r="B3" s="68"/>
      <c r="C3" s="68"/>
      <c r="D3" s="68"/>
      <c r="E3" s="68"/>
      <c r="F3" s="68"/>
      <c r="G3" s="68"/>
      <c r="I3" s="68"/>
      <c r="J3" s="48" t="s">
        <v>15</v>
      </c>
      <c r="K3" s="48" t="s">
        <v>13</v>
      </c>
      <c r="L3" s="48" t="s">
        <v>71</v>
      </c>
      <c r="M3" s="48" t="s">
        <v>72</v>
      </c>
      <c r="N3" s="68"/>
      <c r="O3" s="68"/>
      <c r="P3" s="68"/>
      <c r="Q3" s="68"/>
      <c r="R3" s="68"/>
      <c r="S3" s="49" t="s">
        <v>15</v>
      </c>
      <c r="T3" s="49" t="s">
        <v>71</v>
      </c>
      <c r="U3" s="49" t="s">
        <v>73</v>
      </c>
      <c r="V3" s="49" t="s">
        <v>14</v>
      </c>
      <c r="W3" s="48" t="s">
        <v>4</v>
      </c>
      <c r="X3" s="48" t="s">
        <v>5</v>
      </c>
      <c r="Y3" s="49" t="s">
        <v>6</v>
      </c>
      <c r="Z3" s="49" t="s">
        <v>7</v>
      </c>
      <c r="AA3" s="49" t="s">
        <v>8</v>
      </c>
      <c r="AB3" s="48" t="s">
        <v>74</v>
      </c>
      <c r="AC3" s="48" t="s">
        <v>75</v>
      </c>
      <c r="AD3" s="49" t="s">
        <v>74</v>
      </c>
      <c r="AE3" s="49" t="s">
        <v>75</v>
      </c>
      <c r="AG3" s="68"/>
      <c r="AH3" s="49" t="s">
        <v>15</v>
      </c>
      <c r="AI3" s="49" t="s">
        <v>13</v>
      </c>
      <c r="AJ3" s="49" t="s">
        <v>71</v>
      </c>
      <c r="AK3" s="49" t="s">
        <v>72</v>
      </c>
      <c r="AL3" s="68"/>
      <c r="AM3" s="68"/>
      <c r="AN3" s="68"/>
      <c r="AO3" s="68"/>
      <c r="AP3" s="68"/>
      <c r="AQ3" s="48" t="s">
        <v>15</v>
      </c>
      <c r="AR3" s="48" t="s">
        <v>71</v>
      </c>
      <c r="AS3" s="48" t="s">
        <v>73</v>
      </c>
      <c r="AT3" s="48" t="s">
        <v>14</v>
      </c>
      <c r="AU3" s="49" t="s">
        <v>4</v>
      </c>
      <c r="AV3" s="49" t="s">
        <v>5</v>
      </c>
      <c r="AW3" s="48" t="s">
        <v>6</v>
      </c>
      <c r="AX3" s="48" t="s">
        <v>7</v>
      </c>
      <c r="AY3" s="48" t="s">
        <v>8</v>
      </c>
      <c r="AZ3" s="49" t="s">
        <v>74</v>
      </c>
      <c r="BA3" s="49" t="s">
        <v>75</v>
      </c>
      <c r="BB3" s="48" t="s">
        <v>74</v>
      </c>
      <c r="BC3" s="48" t="s">
        <v>75</v>
      </c>
      <c r="BE3" s="68"/>
      <c r="BF3" s="68"/>
      <c r="BG3" s="68"/>
      <c r="BH3" s="68"/>
      <c r="BJ3" s="49" t="s">
        <v>4</v>
      </c>
      <c r="BK3" s="49" t="s">
        <v>5</v>
      </c>
      <c r="BL3" s="48" t="s">
        <v>6</v>
      </c>
      <c r="BM3" s="48" t="s">
        <v>7</v>
      </c>
      <c r="BN3" s="48" t="s">
        <v>8</v>
      </c>
      <c r="BP3" s="49" t="s">
        <v>4</v>
      </c>
      <c r="BQ3" s="49" t="s">
        <v>5</v>
      </c>
      <c r="BR3" s="48" t="s">
        <v>6</v>
      </c>
      <c r="BS3" s="48" t="s">
        <v>7</v>
      </c>
      <c r="BT3" s="48" t="s">
        <v>8</v>
      </c>
      <c r="BV3" s="50" t="s">
        <v>71</v>
      </c>
      <c r="BW3" s="50" t="s">
        <v>479</v>
      </c>
      <c r="BX3" s="50" t="s">
        <v>480</v>
      </c>
      <c r="BY3" s="56" t="s">
        <v>487</v>
      </c>
      <c r="BZ3" s="53" t="s">
        <v>485</v>
      </c>
      <c r="CA3" s="50" t="s">
        <v>486</v>
      </c>
      <c r="CB3" s="50" t="s">
        <v>480</v>
      </c>
      <c r="CC3" s="56" t="s">
        <v>487</v>
      </c>
      <c r="CD3" s="50" t="s">
        <v>482</v>
      </c>
      <c r="CE3" s="50" t="s">
        <v>483</v>
      </c>
      <c r="CF3" s="50" t="s">
        <v>480</v>
      </c>
    </row>
    <row r="4" spans="1:84" ht="123" hidden="1" customHeight="1" thickBot="1" x14ac:dyDescent="0.2">
      <c r="A4" s="1" t="s">
        <v>76</v>
      </c>
      <c r="B4" s="2" t="s">
        <v>77</v>
      </c>
      <c r="C4" s="1" t="s">
        <v>78</v>
      </c>
      <c r="D4" s="2" t="s">
        <v>79</v>
      </c>
      <c r="E4" s="1" t="s">
        <v>80</v>
      </c>
      <c r="F4" s="2" t="s">
        <v>81</v>
      </c>
      <c r="G4" s="1" t="s">
        <v>82</v>
      </c>
      <c r="I4" s="2" t="s">
        <v>83</v>
      </c>
      <c r="J4" s="1" t="s">
        <v>84</v>
      </c>
      <c r="K4" s="1" t="s">
        <v>85</v>
      </c>
      <c r="L4" s="1" t="s">
        <v>86</v>
      </c>
      <c r="M4" s="1" t="s">
        <v>87</v>
      </c>
      <c r="N4" s="1" t="s">
        <v>88</v>
      </c>
      <c r="O4" s="2" t="s">
        <v>89</v>
      </c>
      <c r="P4" s="1" t="s">
        <v>90</v>
      </c>
      <c r="Q4" s="2" t="s">
        <v>91</v>
      </c>
      <c r="R4" s="1" t="s">
        <v>92</v>
      </c>
      <c r="S4" s="2" t="s">
        <v>93</v>
      </c>
      <c r="T4" s="2" t="s">
        <v>94</v>
      </c>
      <c r="U4" s="2" t="s">
        <v>95</v>
      </c>
      <c r="V4" s="2" t="s">
        <v>96</v>
      </c>
      <c r="W4" s="1" t="s">
        <v>97</v>
      </c>
      <c r="X4" s="1" t="s">
        <v>98</v>
      </c>
      <c r="Y4" s="2" t="s">
        <v>99</v>
      </c>
      <c r="Z4" s="2" t="s">
        <v>100</v>
      </c>
      <c r="AA4" s="2" t="s">
        <v>101</v>
      </c>
      <c r="AB4" s="1" t="s">
        <v>102</v>
      </c>
      <c r="AC4" s="1" t="s">
        <v>103</v>
      </c>
      <c r="AD4" s="2" t="s">
        <v>104</v>
      </c>
      <c r="AE4" s="2" t="s">
        <v>105</v>
      </c>
      <c r="AG4" s="1" t="s">
        <v>106</v>
      </c>
      <c r="AH4" s="2" t="s">
        <v>107</v>
      </c>
      <c r="AI4" s="2" t="s">
        <v>108</v>
      </c>
      <c r="AJ4" s="2" t="s">
        <v>109</v>
      </c>
      <c r="AK4" s="2" t="s">
        <v>110</v>
      </c>
      <c r="AL4" s="2" t="s">
        <v>111</v>
      </c>
      <c r="AM4" s="1" t="s">
        <v>112</v>
      </c>
      <c r="AN4" s="2" t="s">
        <v>113</v>
      </c>
      <c r="AO4" s="1" t="s">
        <v>114</v>
      </c>
      <c r="AP4" s="2" t="s">
        <v>115</v>
      </c>
      <c r="AQ4" s="1" t="s">
        <v>116</v>
      </c>
      <c r="AR4" s="1" t="s">
        <v>117</v>
      </c>
      <c r="AS4" s="1" t="s">
        <v>118</v>
      </c>
      <c r="AT4" s="1" t="s">
        <v>119</v>
      </c>
      <c r="AU4" s="2" t="s">
        <v>120</v>
      </c>
      <c r="AV4" s="2" t="s">
        <v>121</v>
      </c>
      <c r="AW4" s="1" t="s">
        <v>122</v>
      </c>
      <c r="AX4" s="1" t="s">
        <v>123</v>
      </c>
      <c r="AY4" s="1" t="s">
        <v>124</v>
      </c>
      <c r="AZ4" s="2" t="s">
        <v>125</v>
      </c>
      <c r="BA4" s="2" t="s">
        <v>126</v>
      </c>
      <c r="BB4" s="1" t="s">
        <v>127</v>
      </c>
      <c r="BC4" s="1" t="s">
        <v>128</v>
      </c>
      <c r="BE4" s="2" t="s">
        <v>129</v>
      </c>
      <c r="BF4" s="1" t="s">
        <v>130</v>
      </c>
      <c r="BG4" s="2" t="s">
        <v>131</v>
      </c>
      <c r="BH4" s="1" t="s">
        <v>132</v>
      </c>
      <c r="BJ4" s="2" t="s">
        <v>133</v>
      </c>
      <c r="BK4" s="2" t="s">
        <v>134</v>
      </c>
      <c r="BL4" s="1" t="s">
        <v>135</v>
      </c>
      <c r="BM4" s="1" t="s">
        <v>136</v>
      </c>
      <c r="BN4" s="1" t="s">
        <v>137</v>
      </c>
      <c r="BP4" s="2" t="s">
        <v>138</v>
      </c>
      <c r="BQ4" s="2" t="s">
        <v>139</v>
      </c>
      <c r="BR4" s="1" t="s">
        <v>140</v>
      </c>
      <c r="BS4" s="1" t="s">
        <v>141</v>
      </c>
      <c r="BT4" s="1" t="s">
        <v>142</v>
      </c>
      <c r="BZ4" s="54"/>
      <c r="CC4" s="57"/>
    </row>
    <row r="5" spans="1:84" x14ac:dyDescent="0.15">
      <c r="A5" s="46" t="s">
        <v>143</v>
      </c>
      <c r="B5" s="46" t="s">
        <v>17</v>
      </c>
      <c r="C5" s="3" t="s">
        <v>144</v>
      </c>
      <c r="D5" s="46">
        <v>238146391</v>
      </c>
      <c r="E5" s="3">
        <v>10</v>
      </c>
      <c r="F5" s="3">
        <v>32</v>
      </c>
      <c r="G5" s="3">
        <v>30</v>
      </c>
      <c r="I5" s="4">
        <f t="shared" ref="I5:I39" si="0">IF(OR(ISBLANK(S5),ISBLANK(G5)),"·",S5*G5/F5/1000000)</f>
        <v>2.1789900000000002</v>
      </c>
      <c r="J5" s="5">
        <f t="shared" ref="J5:J39" si="1">IF(ISBLANK(S5),"·",S5/D5)</f>
        <v>9.7597783877396652E-3</v>
      </c>
      <c r="K5" s="5">
        <f t="shared" ref="K5:K39" si="2">IF(N5="","·",N5/D5)</f>
        <v>6.1712629522905514E-3</v>
      </c>
      <c r="L5" s="5">
        <f t="shared" ref="L5:L39" si="3">IF(T5="","·",T5/D5)</f>
        <v>3.5270742356116581E-3</v>
      </c>
      <c r="M5" s="5">
        <f t="shared" ref="M5:M39" si="4">IF(ISBLANK(V5),"·",V5/D5)</f>
        <v>3.5885154354491143E-3</v>
      </c>
      <c r="N5" s="46">
        <f t="shared" ref="N5:N39" si="5">IF(OR(ISBLANK(T5),ISBLANK(U5)),"",T5+U5)</f>
        <v>1469664</v>
      </c>
      <c r="O5" s="5">
        <v>-12</v>
      </c>
      <c r="P5" s="6">
        <v>21771728</v>
      </c>
      <c r="Q5" s="6">
        <v>680366.5</v>
      </c>
      <c r="R5" s="6">
        <v>13458.65625</v>
      </c>
      <c r="S5" s="7">
        <v>2324256</v>
      </c>
      <c r="T5" s="7">
        <v>839960</v>
      </c>
      <c r="U5" s="7">
        <v>629704</v>
      </c>
      <c r="V5" s="7">
        <v>854592</v>
      </c>
      <c r="W5" s="8">
        <v>66.355962500000004</v>
      </c>
      <c r="X5" s="8">
        <v>68.483328125</v>
      </c>
      <c r="Y5" s="8">
        <v>32.113043750000003</v>
      </c>
      <c r="Z5" s="8">
        <v>44.188546875</v>
      </c>
      <c r="AA5" s="8">
        <v>43.811181249999898</v>
      </c>
      <c r="AB5" s="9">
        <v>431.88900000000001</v>
      </c>
      <c r="AC5" s="9">
        <v>404.07100000000003</v>
      </c>
      <c r="AD5" s="9">
        <v>1435.05</v>
      </c>
      <c r="AE5" s="9">
        <v>9.9529999999999994</v>
      </c>
      <c r="AG5" s="4">
        <f t="shared" ref="AG5:AG39" si="6">IF(OR(ISBLANK(AQ5),ISBLANK(G5)),"·",AQ5*G5/F5/1000000)</f>
        <v>2.1860249999999999</v>
      </c>
      <c r="AH5" s="5">
        <f t="shared" ref="AH5:AH39" si="7">IF(ISBLANK(AQ5),"·",AQ5/D5)</f>
        <v>9.791288418055431E-3</v>
      </c>
      <c r="AI5" s="5">
        <f t="shared" ref="AI5:AI39" si="8">IF(AL5="","·",AL5/D5)</f>
        <v>6.2119774051079364E-3</v>
      </c>
      <c r="AJ5" s="5">
        <f t="shared" ref="AJ5:AJ39" si="9">IF(AR5="","·",AR5/D5)</f>
        <v>3.5677886884290426E-3</v>
      </c>
      <c r="AK5" s="5">
        <f t="shared" ref="AK5:AK39" si="10">IF(ISBLANK(AT5),"·",AT5/D5)</f>
        <v>3.5793110129474942E-3</v>
      </c>
      <c r="AL5" s="46">
        <f t="shared" ref="AL5:AL39" si="11">IF(OR(ISBLANK(AR5),ISBLANK(AS5)),"",AR5+AS5)</f>
        <v>1479360</v>
      </c>
      <c r="AM5" s="5">
        <v>-12</v>
      </c>
      <c r="AN5" s="6"/>
      <c r="AO5" s="6"/>
      <c r="AP5" s="6"/>
      <c r="AQ5" s="7">
        <v>2331760</v>
      </c>
      <c r="AR5" s="7">
        <v>849656</v>
      </c>
      <c r="AS5" s="7">
        <v>629704</v>
      </c>
      <c r="AT5" s="7">
        <v>852400</v>
      </c>
      <c r="AU5" s="8">
        <v>66.365384375000005</v>
      </c>
      <c r="AV5" s="8">
        <v>68.439478124999994</v>
      </c>
      <c r="AW5" s="8">
        <v>32.084415624999998</v>
      </c>
      <c r="AX5" s="8">
        <v>44.129196874999899</v>
      </c>
      <c r="AY5" s="8">
        <v>43.813534374999897</v>
      </c>
      <c r="AZ5" s="9">
        <v>99.048000000000002</v>
      </c>
      <c r="BA5" s="9">
        <v>82.51</v>
      </c>
      <c r="BB5" s="9">
        <v>781.17100000000005</v>
      </c>
      <c r="BC5" s="9">
        <v>9.9529999999999994</v>
      </c>
      <c r="BE5" s="44">
        <f t="shared" ref="BE5:BE43" si="12">AI5/K5</f>
        <v>1.0065974263505129</v>
      </c>
      <c r="BF5" s="10" t="e">
        <f t="shared" ref="BF5:BF39" si="13">(AP5/AO5) - (R5/Q5)</f>
        <v>#DIV/0!</v>
      </c>
      <c r="BG5" s="10">
        <f t="shared" ref="BG5:BG39" si="14">(AL5/AQ5) - (N5/S5)</f>
        <v>2.1233324035939694E-3</v>
      </c>
      <c r="BH5" s="10">
        <f t="array" ref="BH5">AVERAGE(AL5:AL9/AQ5:AQ9) - AVERAGE(N5:N9/S5:S9)</f>
        <v>1.4690314865147824E-3</v>
      </c>
      <c r="BJ5" s="44">
        <f>IF( OR(ISBLANK(N5:N9),ISBLANK(AL5:AL9), ISBLANK(W5:W9),ISBLANK(AU5:AU9)), "·", bdRateExtend( N5:N9,W5:W9, AL5:AL9,AU5:AU9))</f>
        <v>8.0788311454027539E-3</v>
      </c>
      <c r="BK5" s="44">
        <f>IF( OR(ISBLANK(N5:N9),ISBLANK(AL5:AL9), ISBLANK(X5:X9),ISBLANK(AV5:AV9)), "·", bdRateExtend( N5:N9,X5:X9, AL5:AL9,AV5:AV9))</f>
        <v>1.0064246750716599E-2</v>
      </c>
      <c r="BL5" s="44">
        <f>IF( OR(ISBLANK(V5:V9),ISBLANK(AT5:AT9), ISBLANK(Y5:Y9),ISBLANK(AW5:AW9)), "·", bdRateExtend( V5:V9,Y5:Y9, AT5:AT9,AW5:AW9))</f>
        <v>1.05066902902613E-2</v>
      </c>
      <c r="BM5" s="44">
        <f>IF( OR(ISBLANK(V5:V9),ISBLANK(AT5:AT9), ISBLANK(Z5:Z9),ISBLANK(AX5:AX9)), "·", bdRateExtend( V5:V9,Z5:Z9, AT5:AT9,AX5:AX9))</f>
        <v>-4.1835879741328741E-3</v>
      </c>
      <c r="BN5" s="44">
        <f>IF( OR(ISBLANK(V5:V9),ISBLANK(AT5:AT9), ISBLANK(AA5:AA9),ISBLANK(AY5:AY9)), "·", bdRateExtend( V5:V9,AA5:AA9, AT5:AT9,AY5:AY9))</f>
        <v>-9.7794153233494718E-3</v>
      </c>
      <c r="BP5" s="44">
        <f>IF( OR(ISBLANK(S5:S9),ISBLANK(AQ5:AQ9), ISBLANK(W5:W9),ISBLANK(AU5:AU9)), "·", bdRateExtend( S5:S9,W5:W9, AQ5:AQ9,AU5:AU9))</f>
        <v>5.4074366706824417E-3</v>
      </c>
      <c r="BQ5" s="44">
        <f>IF( OR(ISBLANK(S5:S9),ISBLANK(AQ5:AQ9), ISBLANK(X5:X9),ISBLANK(AV5:AV9)), "·", bdRateExtend( S5:S9,X5:X9, AQ5:AQ9,AV5:AV9))</f>
        <v>8.7574722033669783E-3</v>
      </c>
      <c r="BR5" s="44">
        <f>IF( OR(ISBLANK(S5:S9),ISBLANK(AQ5:AQ9), ISBLANK(Y5:Y9),ISBLANK(AW5:AW9)), "·", bdRateExtend( S5:S9,Y5:Y9, AQ5:AQ9,AW5:AW9))</f>
        <v>1.0798449287644729E-2</v>
      </c>
      <c r="BS5" s="44">
        <f>IF( OR(ISBLANK(S5:S9),ISBLANK(AQ5:AQ9), ISBLANK(Z5:Z9),ISBLANK(AX5:AX9)), "·", bdRateExtend( S5:S9,Z5:Z9, AQ5:AQ9,AX5:AX9))</f>
        <v>-1.89512148529003E-3</v>
      </c>
      <c r="BT5" s="44">
        <f>IF( OR(ISBLANK(S5:S9),ISBLANK(AQ5:AQ9), ISBLANK(AA5:AA9),ISBLANK(AY5:AY9)), "·", bdRateExtend( S5:S9,AA5:AA9, AQ5:AQ9,AY5:AY9))</f>
        <v>-5.5935552054120485E-3</v>
      </c>
      <c r="BV5" s="51">
        <f t="shared" ref="BV5:BX20" si="15">(AB5-AZ5)/AB5</f>
        <v>0.77066329543007583</v>
      </c>
      <c r="BW5" s="51">
        <f t="shared" si="15"/>
        <v>0.79580321280171062</v>
      </c>
      <c r="BX5" s="51">
        <f t="shared" si="15"/>
        <v>0.45564893209295837</v>
      </c>
      <c r="BY5" s="51">
        <f>AVERAGE(BV5:BW5)</f>
        <v>0.78323325411589328</v>
      </c>
      <c r="BZ5" s="55"/>
      <c r="CA5" s="51"/>
      <c r="CC5" s="57"/>
    </row>
    <row r="6" spans="1:84" outlineLevel="1" x14ac:dyDescent="0.15">
      <c r="A6" s="11"/>
      <c r="B6" s="11" t="s">
        <v>17</v>
      </c>
      <c r="C6" s="12" t="s">
        <v>145</v>
      </c>
      <c r="D6" s="11">
        <v>238146391</v>
      </c>
      <c r="E6" s="12">
        <v>10</v>
      </c>
      <c r="F6" s="12">
        <v>32</v>
      </c>
      <c r="G6" s="12">
        <v>30</v>
      </c>
      <c r="I6" s="13">
        <f t="shared" si="0"/>
        <v>3.388665</v>
      </c>
      <c r="J6" s="14">
        <f t="shared" si="1"/>
        <v>1.5177958334040006E-2</v>
      </c>
      <c r="K6" s="14">
        <f t="shared" si="2"/>
        <v>7.5204498900006429E-3</v>
      </c>
      <c r="L6" s="14">
        <f t="shared" si="3"/>
        <v>4.8762611733217491E-3</v>
      </c>
      <c r="M6" s="14">
        <f t="shared" si="4"/>
        <v>7.6575084440393638E-3</v>
      </c>
      <c r="N6" s="11">
        <f t="shared" si="5"/>
        <v>1790968</v>
      </c>
      <c r="O6" s="14">
        <v>-12</v>
      </c>
      <c r="P6" s="15">
        <v>24147688</v>
      </c>
      <c r="Q6" s="15">
        <v>754615.25</v>
      </c>
      <c r="R6" s="15">
        <v>19012.03125</v>
      </c>
      <c r="S6" s="16">
        <v>3614576</v>
      </c>
      <c r="T6" s="16">
        <v>1161264</v>
      </c>
      <c r="U6" s="16">
        <v>629704</v>
      </c>
      <c r="V6" s="16">
        <v>1823608</v>
      </c>
      <c r="W6" s="17">
        <v>68.241949999999903</v>
      </c>
      <c r="X6" s="17">
        <v>70.429959374999996</v>
      </c>
      <c r="Y6" s="17">
        <v>34.357659374999997</v>
      </c>
      <c r="Z6" s="17">
        <v>45.4717531249999</v>
      </c>
      <c r="AA6" s="17">
        <v>45.224109374999998</v>
      </c>
      <c r="AB6" s="18">
        <v>463.45600000000002</v>
      </c>
      <c r="AC6" s="18">
        <v>410.53100000000001</v>
      </c>
      <c r="AD6" s="18">
        <v>1478.13</v>
      </c>
      <c r="AE6" s="18">
        <v>9.859</v>
      </c>
      <c r="AG6" s="13">
        <f t="shared" si="6"/>
        <v>3.4023075</v>
      </c>
      <c r="AH6" s="14">
        <f t="shared" si="7"/>
        <v>1.5239063606048937E-2</v>
      </c>
      <c r="AI6" s="14">
        <f t="shared" si="8"/>
        <v>7.5608284149895014E-3</v>
      </c>
      <c r="AJ6" s="14">
        <f t="shared" si="9"/>
        <v>4.9166396983106077E-3</v>
      </c>
      <c r="AK6" s="14">
        <f t="shared" si="10"/>
        <v>7.678235191059435E-3</v>
      </c>
      <c r="AL6" s="11">
        <f t="shared" si="11"/>
        <v>1800584</v>
      </c>
      <c r="AM6" s="14">
        <v>-12</v>
      </c>
      <c r="AN6" s="15"/>
      <c r="AO6" s="15"/>
      <c r="AP6" s="15"/>
      <c r="AQ6" s="16">
        <v>3629128</v>
      </c>
      <c r="AR6" s="16">
        <v>1170880</v>
      </c>
      <c r="AS6" s="16">
        <v>629704</v>
      </c>
      <c r="AT6" s="16">
        <v>1828544</v>
      </c>
      <c r="AU6" s="17">
        <v>68.229137499999993</v>
      </c>
      <c r="AV6" s="17">
        <v>70.405012499999998</v>
      </c>
      <c r="AW6" s="17">
        <v>34.3289187499999</v>
      </c>
      <c r="AX6" s="17">
        <v>45.487784374999997</v>
      </c>
      <c r="AY6" s="17">
        <v>45.240390624999897</v>
      </c>
      <c r="AZ6" s="18">
        <v>115.536</v>
      </c>
      <c r="BA6" s="18">
        <v>88.534999999999997</v>
      </c>
      <c r="BB6" s="18">
        <v>807.78099999999995</v>
      </c>
      <c r="BC6" s="18">
        <v>9.734</v>
      </c>
      <c r="BE6" s="43">
        <f t="shared" si="12"/>
        <v>1.005369163491475</v>
      </c>
      <c r="BF6" s="19" t="e">
        <f t="shared" si="13"/>
        <v>#DIV/0!</v>
      </c>
      <c r="BG6" s="19">
        <f t="shared" si="14"/>
        <v>6.6288734989466969E-4</v>
      </c>
      <c r="BH6" s="19"/>
      <c r="BJ6" s="43"/>
      <c r="BK6" s="43"/>
      <c r="BL6" s="43"/>
      <c r="BM6" s="43"/>
      <c r="BN6" s="43"/>
      <c r="BP6" s="43"/>
      <c r="BQ6" s="43"/>
      <c r="BR6" s="43"/>
      <c r="BS6" s="43"/>
      <c r="BT6" s="43"/>
      <c r="BV6" s="51">
        <f t="shared" si="15"/>
        <v>0.75070772629979976</v>
      </c>
      <c r="BW6" s="51">
        <f t="shared" si="15"/>
        <v>0.78434028124550881</v>
      </c>
      <c r="BX6" s="51">
        <f t="shared" si="15"/>
        <v>0.45351153146205009</v>
      </c>
      <c r="BY6" s="51">
        <f t="shared" ref="BY6:BY39" si="16">AVERAGE(BV6:BW6)</f>
        <v>0.76752400377265428</v>
      </c>
      <c r="BZ6" s="55"/>
      <c r="CA6" s="51"/>
      <c r="CC6" s="57"/>
    </row>
    <row r="7" spans="1:84" outlineLevel="1" x14ac:dyDescent="0.15">
      <c r="A7" s="46"/>
      <c r="B7" s="46" t="s">
        <v>17</v>
      </c>
      <c r="C7" s="3" t="s">
        <v>146</v>
      </c>
      <c r="D7" s="46">
        <v>238146391</v>
      </c>
      <c r="E7" s="3">
        <v>10</v>
      </c>
      <c r="F7" s="3">
        <v>32</v>
      </c>
      <c r="G7" s="3">
        <v>30</v>
      </c>
      <c r="I7" s="4">
        <f t="shared" si="0"/>
        <v>5.5621875000000003</v>
      </c>
      <c r="J7" s="5">
        <f t="shared" si="1"/>
        <v>2.4913247583080108E-2</v>
      </c>
      <c r="K7" s="5">
        <f t="shared" si="2"/>
        <v>9.4649681254250044E-3</v>
      </c>
      <c r="L7" s="5">
        <f t="shared" si="3"/>
        <v>6.8207794087461106E-3</v>
      </c>
      <c r="M7" s="5">
        <f t="shared" si="4"/>
        <v>1.5448279457655102E-2</v>
      </c>
      <c r="N7" s="46">
        <f t="shared" si="5"/>
        <v>2254048</v>
      </c>
      <c r="O7" s="5">
        <v>-12</v>
      </c>
      <c r="P7" s="6">
        <v>24798303</v>
      </c>
      <c r="Q7" s="6">
        <v>774946.96875</v>
      </c>
      <c r="R7" s="6">
        <v>20946</v>
      </c>
      <c r="S7" s="7">
        <v>5933000</v>
      </c>
      <c r="T7" s="7">
        <v>1624344</v>
      </c>
      <c r="U7" s="7">
        <v>629704</v>
      </c>
      <c r="V7" s="7">
        <v>3678952</v>
      </c>
      <c r="W7" s="8">
        <v>69.679040624999999</v>
      </c>
      <c r="X7" s="8">
        <v>72.1286249999999</v>
      </c>
      <c r="Y7" s="8">
        <v>36.89405</v>
      </c>
      <c r="Z7" s="8">
        <v>46.603406249999999</v>
      </c>
      <c r="AA7" s="8">
        <v>46.480725</v>
      </c>
      <c r="AB7" s="9">
        <v>494.35500000000002</v>
      </c>
      <c r="AC7" s="9">
        <v>423.44600000000003</v>
      </c>
      <c r="AD7" s="9">
        <v>1530.16</v>
      </c>
      <c r="AE7" s="9">
        <v>9.7650000000000006</v>
      </c>
      <c r="AG7" s="4">
        <f t="shared" si="6"/>
        <v>5.5734750000000002</v>
      </c>
      <c r="AH7" s="5">
        <f t="shared" si="7"/>
        <v>2.4963804721273311E-2</v>
      </c>
      <c r="AI7" s="5">
        <f t="shared" si="8"/>
        <v>9.5114269441101875E-3</v>
      </c>
      <c r="AJ7" s="5">
        <f t="shared" si="9"/>
        <v>6.8672382274312946E-3</v>
      </c>
      <c r="AK7" s="5">
        <f t="shared" si="10"/>
        <v>1.5452377777163124E-2</v>
      </c>
      <c r="AL7" s="46">
        <f t="shared" si="11"/>
        <v>2265112</v>
      </c>
      <c r="AM7" s="5">
        <v>-12</v>
      </c>
      <c r="AN7" s="6"/>
      <c r="AO7" s="6"/>
      <c r="AP7" s="6"/>
      <c r="AQ7" s="7">
        <v>5945040</v>
      </c>
      <c r="AR7" s="7">
        <v>1635408</v>
      </c>
      <c r="AS7" s="7">
        <v>629704</v>
      </c>
      <c r="AT7" s="7">
        <v>3679928</v>
      </c>
      <c r="AU7" s="8">
        <v>69.675534374999899</v>
      </c>
      <c r="AV7" s="8">
        <v>72.102215624999999</v>
      </c>
      <c r="AW7" s="8">
        <v>36.863684374999899</v>
      </c>
      <c r="AX7" s="8">
        <v>46.589290624999897</v>
      </c>
      <c r="AY7" s="8">
        <v>46.471440625</v>
      </c>
      <c r="AZ7" s="9">
        <v>132.77000000000001</v>
      </c>
      <c r="BA7" s="9">
        <v>115.718</v>
      </c>
      <c r="BB7" s="9">
        <v>849.32799999999997</v>
      </c>
      <c r="BC7" s="9">
        <v>9.75</v>
      </c>
      <c r="BE7" s="44">
        <f t="shared" si="12"/>
        <v>1.0049085023921407</v>
      </c>
      <c r="BF7" s="10" t="e">
        <f t="shared" si="13"/>
        <v>#DIV/0!</v>
      </c>
      <c r="BG7" s="10">
        <f t="shared" si="14"/>
        <v>1.0916324245295317E-3</v>
      </c>
      <c r="BH7" s="10"/>
      <c r="BJ7" s="44"/>
      <c r="BK7" s="44"/>
      <c r="BL7" s="44"/>
      <c r="BM7" s="44"/>
      <c r="BN7" s="44"/>
      <c r="BP7" s="44"/>
      <c r="BQ7" s="44"/>
      <c r="BR7" s="44"/>
      <c r="BS7" s="44"/>
      <c r="BT7" s="44"/>
      <c r="BV7" s="51">
        <f t="shared" si="15"/>
        <v>0.73142782008880258</v>
      </c>
      <c r="BW7" s="51">
        <f t="shared" si="15"/>
        <v>0.72672312408193718</v>
      </c>
      <c r="BX7" s="51">
        <f t="shared" si="15"/>
        <v>0.44494170544256817</v>
      </c>
      <c r="BY7" s="51">
        <f t="shared" si="16"/>
        <v>0.72907547208536982</v>
      </c>
      <c r="BZ7" s="55"/>
      <c r="CA7" s="51"/>
      <c r="CC7" s="57"/>
    </row>
    <row r="8" spans="1:84" outlineLevel="1" x14ac:dyDescent="0.15">
      <c r="A8" s="11"/>
      <c r="B8" s="11" t="s">
        <v>17</v>
      </c>
      <c r="C8" s="12" t="s">
        <v>147</v>
      </c>
      <c r="D8" s="11">
        <v>238146391</v>
      </c>
      <c r="E8" s="12">
        <v>10</v>
      </c>
      <c r="F8" s="12">
        <v>32</v>
      </c>
      <c r="G8" s="12">
        <v>30</v>
      </c>
      <c r="I8" s="13">
        <f t="shared" si="0"/>
        <v>9.4267649999999996</v>
      </c>
      <c r="J8" s="14">
        <f t="shared" si="1"/>
        <v>4.2222835953033611E-2</v>
      </c>
      <c r="K8" s="14">
        <f t="shared" si="2"/>
        <v>1.2729682726957639E-2</v>
      </c>
      <c r="L8" s="14">
        <f t="shared" si="3"/>
        <v>1.0085494010278745E-2</v>
      </c>
      <c r="M8" s="14">
        <f t="shared" si="4"/>
        <v>2.9493153226075972E-2</v>
      </c>
      <c r="N8" s="11">
        <f t="shared" si="5"/>
        <v>3031528</v>
      </c>
      <c r="O8" s="14">
        <v>-12</v>
      </c>
      <c r="P8" s="15">
        <v>25806958</v>
      </c>
      <c r="Q8" s="15">
        <v>806467.4375</v>
      </c>
      <c r="R8" s="15">
        <v>24305.84375</v>
      </c>
      <c r="S8" s="16">
        <v>10055216</v>
      </c>
      <c r="T8" s="16">
        <v>2401824</v>
      </c>
      <c r="U8" s="16">
        <v>629704</v>
      </c>
      <c r="V8" s="16">
        <v>7023688</v>
      </c>
      <c r="W8" s="17">
        <v>70.829490625000005</v>
      </c>
      <c r="X8" s="17">
        <v>73.399412499999997</v>
      </c>
      <c r="Y8" s="17">
        <v>39.521596875</v>
      </c>
      <c r="Z8" s="17">
        <v>47.923753124999998</v>
      </c>
      <c r="AA8" s="17">
        <v>47.9429374999999</v>
      </c>
      <c r="AB8" s="18">
        <v>535.47900000000004</v>
      </c>
      <c r="AC8" s="18">
        <v>446.67</v>
      </c>
      <c r="AD8" s="18">
        <v>1586.61</v>
      </c>
      <c r="AE8" s="18">
        <v>9.875</v>
      </c>
      <c r="AG8" s="13">
        <f t="shared" si="6"/>
        <v>9.4432349999999996</v>
      </c>
      <c r="AH8" s="14">
        <f t="shared" si="7"/>
        <v>4.2296605704177981E-2</v>
      </c>
      <c r="AI8" s="14">
        <f t="shared" si="8"/>
        <v>1.2862407812008371E-2</v>
      </c>
      <c r="AJ8" s="14">
        <f t="shared" si="9"/>
        <v>1.0218219095329478E-2</v>
      </c>
      <c r="AK8" s="14">
        <f t="shared" si="10"/>
        <v>2.9434197892169611E-2</v>
      </c>
      <c r="AL8" s="11">
        <f t="shared" si="11"/>
        <v>3063136</v>
      </c>
      <c r="AM8" s="14">
        <v>-12</v>
      </c>
      <c r="AN8" s="15"/>
      <c r="AO8" s="15"/>
      <c r="AP8" s="15"/>
      <c r="AQ8" s="16">
        <v>10072784</v>
      </c>
      <c r="AR8" s="16">
        <v>2433432</v>
      </c>
      <c r="AS8" s="16">
        <v>629704</v>
      </c>
      <c r="AT8" s="16">
        <v>7009648</v>
      </c>
      <c r="AU8" s="17">
        <v>70.821081249999907</v>
      </c>
      <c r="AV8" s="17">
        <v>73.387634374999905</v>
      </c>
      <c r="AW8" s="17">
        <v>39.466862499999998</v>
      </c>
      <c r="AX8" s="17">
        <v>47.954225000000001</v>
      </c>
      <c r="AY8" s="17">
        <v>47.998421874999998</v>
      </c>
      <c r="AZ8" s="18">
        <v>159.922</v>
      </c>
      <c r="BA8" s="18">
        <v>140.19900000000001</v>
      </c>
      <c r="BB8" s="18">
        <v>913.98400000000004</v>
      </c>
      <c r="BC8" s="18">
        <v>9.7650000000000006</v>
      </c>
      <c r="BE8" s="43">
        <f t="shared" si="12"/>
        <v>1.0104264252218682</v>
      </c>
      <c r="BF8" s="19" t="e">
        <f t="shared" si="13"/>
        <v>#DIV/0!</v>
      </c>
      <c r="BG8" s="19">
        <f t="shared" si="14"/>
        <v>2.6121335473312524E-3</v>
      </c>
      <c r="BH8" s="19"/>
      <c r="BJ8" s="43"/>
      <c r="BK8" s="43"/>
      <c r="BL8" s="43"/>
      <c r="BM8" s="43"/>
      <c r="BN8" s="43"/>
      <c r="BP8" s="43"/>
      <c r="BQ8" s="43"/>
      <c r="BR8" s="43"/>
      <c r="BS8" s="43"/>
      <c r="BT8" s="43"/>
      <c r="BV8" s="51">
        <f t="shared" si="15"/>
        <v>0.70134776527184073</v>
      </c>
      <c r="BW8" s="51">
        <f t="shared" si="15"/>
        <v>0.68612398414937203</v>
      </c>
      <c r="BX8" s="51">
        <f t="shared" si="15"/>
        <v>0.42393909026162691</v>
      </c>
      <c r="BY8" s="51">
        <f t="shared" si="16"/>
        <v>0.69373587471060638</v>
      </c>
      <c r="BZ8" s="55"/>
      <c r="CA8" s="51"/>
      <c r="CC8" s="57"/>
    </row>
    <row r="9" spans="1:84" ht="14.25" outlineLevel="1" thickBot="1" x14ac:dyDescent="0.2">
      <c r="A9" s="46"/>
      <c r="B9" s="20" t="s">
        <v>17</v>
      </c>
      <c r="C9" s="21" t="s">
        <v>148</v>
      </c>
      <c r="D9" s="20">
        <v>238146391</v>
      </c>
      <c r="E9" s="21">
        <v>10</v>
      </c>
      <c r="F9" s="21">
        <v>32</v>
      </c>
      <c r="G9" s="21">
        <v>30</v>
      </c>
      <c r="I9" s="22">
        <f t="shared" si="0"/>
        <v>16.8055275</v>
      </c>
      <c r="J9" s="23">
        <f t="shared" si="1"/>
        <v>7.5272591470848707E-2</v>
      </c>
      <c r="K9" s="23">
        <f t="shared" si="2"/>
        <v>2.0658352114183414E-2</v>
      </c>
      <c r="L9" s="23">
        <f t="shared" si="3"/>
        <v>1.5548050022727408E-2</v>
      </c>
      <c r="M9" s="23">
        <f t="shared" si="4"/>
        <v>5.461423935666529E-2</v>
      </c>
      <c r="N9" s="20">
        <f t="shared" si="5"/>
        <v>4919712</v>
      </c>
      <c r="O9" s="23">
        <v>-12</v>
      </c>
      <c r="P9" s="24">
        <v>24863702</v>
      </c>
      <c r="Q9" s="24">
        <v>776990.6875</v>
      </c>
      <c r="R9" s="24">
        <v>10657.0625</v>
      </c>
      <c r="S9" s="25">
        <v>17925896</v>
      </c>
      <c r="T9" s="25">
        <v>3702712</v>
      </c>
      <c r="U9" s="25">
        <v>1217000</v>
      </c>
      <c r="V9" s="25">
        <v>13006184</v>
      </c>
      <c r="W9" s="26">
        <v>71.945081250000001</v>
      </c>
      <c r="X9" s="26">
        <v>75.324081250000006</v>
      </c>
      <c r="Y9" s="26">
        <v>42.094303124999897</v>
      </c>
      <c r="Z9" s="26">
        <v>49.4176312499999</v>
      </c>
      <c r="AA9" s="26">
        <v>49.554403125</v>
      </c>
      <c r="AB9" s="27">
        <v>570.01099999999997</v>
      </c>
      <c r="AC9" s="27">
        <v>493.15699999999998</v>
      </c>
      <c r="AD9" s="27">
        <v>1681.13</v>
      </c>
      <c r="AE9" s="27">
        <v>9.859</v>
      </c>
      <c r="AG9" s="22">
        <f t="shared" si="6"/>
        <v>16.783455</v>
      </c>
      <c r="AH9" s="23">
        <f t="shared" si="7"/>
        <v>7.5173727910913424E-2</v>
      </c>
      <c r="AI9" s="23">
        <f t="shared" si="8"/>
        <v>2.0695505732018421E-2</v>
      </c>
      <c r="AJ9" s="23">
        <f t="shared" si="9"/>
        <v>1.5585203640562413E-2</v>
      </c>
      <c r="AK9" s="23">
        <f t="shared" si="10"/>
        <v>5.4478222178894996E-2</v>
      </c>
      <c r="AL9" s="20">
        <f t="shared" si="11"/>
        <v>4928560</v>
      </c>
      <c r="AM9" s="23">
        <v>-12</v>
      </c>
      <c r="AN9" s="24"/>
      <c r="AO9" s="24"/>
      <c r="AP9" s="24"/>
      <c r="AQ9" s="25">
        <v>17902352</v>
      </c>
      <c r="AR9" s="25">
        <v>3711560</v>
      </c>
      <c r="AS9" s="25">
        <v>1217000</v>
      </c>
      <c r="AT9" s="25">
        <v>12973792</v>
      </c>
      <c r="AU9" s="26">
        <v>71.934743749999996</v>
      </c>
      <c r="AV9" s="26">
        <v>75.304359375000004</v>
      </c>
      <c r="AW9" s="26">
        <v>42.028156250000002</v>
      </c>
      <c r="AX9" s="26">
        <v>49.450003125000002</v>
      </c>
      <c r="AY9" s="26">
        <v>49.571265625000002</v>
      </c>
      <c r="AZ9" s="27">
        <v>257.94</v>
      </c>
      <c r="BA9" s="27">
        <v>205.72300000000001</v>
      </c>
      <c r="BB9" s="27">
        <v>1085.33</v>
      </c>
      <c r="BC9" s="27">
        <v>9.718</v>
      </c>
      <c r="BE9" s="28">
        <f t="shared" si="12"/>
        <v>1.0017984792605745</v>
      </c>
      <c r="BF9" s="29" t="e">
        <f t="shared" si="13"/>
        <v>#DIV/0!</v>
      </c>
      <c r="BG9" s="29">
        <f t="shared" si="14"/>
        <v>8.5517170722454461E-4</v>
      </c>
      <c r="BH9" s="29"/>
      <c r="BJ9" s="28"/>
      <c r="BK9" s="28"/>
      <c r="BL9" s="28"/>
      <c r="BM9" s="28"/>
      <c r="BN9" s="28"/>
      <c r="BP9" s="28"/>
      <c r="BQ9" s="28"/>
      <c r="BR9" s="28"/>
      <c r="BS9" s="28"/>
      <c r="BT9" s="28"/>
      <c r="BV9" s="51">
        <f t="shared" si="15"/>
        <v>0.54748241700598754</v>
      </c>
      <c r="BW9" s="51">
        <f t="shared" si="15"/>
        <v>0.58284481412613021</v>
      </c>
      <c r="BX9" s="51">
        <f t="shared" si="15"/>
        <v>0.354404477940433</v>
      </c>
      <c r="BY9" s="51">
        <f t="shared" si="16"/>
        <v>0.56516361556605887</v>
      </c>
      <c r="BZ9" s="55">
        <f>AVERAGE(BV5:BV9)</f>
        <v>0.70032580481930129</v>
      </c>
      <c r="CA9" s="51">
        <f>AVERAGE(BW5:BW9)</f>
        <v>0.71516708328093181</v>
      </c>
      <c r="CB9" s="51">
        <f>AVERAGE(BX5:BX9)</f>
        <v>0.42648914743992733</v>
      </c>
      <c r="CC9" s="58">
        <f>AVERAGE(BY5:BY9)</f>
        <v>0.70774644405011655</v>
      </c>
      <c r="CD9" s="51">
        <f>(SUM(AB5:AB9)-SUM(AZ5:AZ9))/SUM(AB5:AB9)</f>
        <v>0.69332355451889427</v>
      </c>
      <c r="CE9" s="51">
        <f>(SUM(AC5:AC9)-SUM(BA5:BA9))/SUM(AC5:AC9)</f>
        <v>0.70949434655340649</v>
      </c>
      <c r="CF9" s="51">
        <f>(SUM(AB5:AC9)-SUM(AZ5:BA9))/SUM(AB5:AC9)</f>
        <v>0.70085992811998121</v>
      </c>
    </row>
    <row r="10" spans="1:84" x14ac:dyDescent="0.15">
      <c r="A10" s="11"/>
      <c r="B10" s="11" t="s">
        <v>20</v>
      </c>
      <c r="C10" s="12" t="s">
        <v>144</v>
      </c>
      <c r="D10" s="11">
        <v>218121242</v>
      </c>
      <c r="E10" s="12">
        <v>10</v>
      </c>
      <c r="F10" s="12">
        <v>32</v>
      </c>
      <c r="G10" s="12">
        <v>30</v>
      </c>
      <c r="I10" s="13">
        <f t="shared" si="0"/>
        <v>3.1803675</v>
      </c>
      <c r="J10" s="14">
        <f t="shared" si="1"/>
        <v>1.555278142052758E-2</v>
      </c>
      <c r="K10" s="14">
        <f t="shared" si="2"/>
        <v>8.0389419385389349E-3</v>
      </c>
      <c r="L10" s="14">
        <f t="shared" si="3"/>
        <v>4.2751636266586089E-3</v>
      </c>
      <c r="M10" s="14">
        <f t="shared" si="4"/>
        <v>7.5138394819886456E-3</v>
      </c>
      <c r="N10" s="11">
        <f t="shared" si="5"/>
        <v>1753464</v>
      </c>
      <c r="O10" s="14">
        <v>-12</v>
      </c>
      <c r="P10" s="15">
        <v>20646708</v>
      </c>
      <c r="Q10" s="15">
        <v>645209.625</v>
      </c>
      <c r="R10" s="15">
        <v>18054.21875</v>
      </c>
      <c r="S10" s="16">
        <v>3392392</v>
      </c>
      <c r="T10" s="16">
        <v>932504</v>
      </c>
      <c r="U10" s="16">
        <v>820960</v>
      </c>
      <c r="V10" s="16">
        <v>1638928</v>
      </c>
      <c r="W10" s="17">
        <v>65.886574999999993</v>
      </c>
      <c r="X10" s="17">
        <v>67.829274999999996</v>
      </c>
      <c r="Y10" s="17">
        <v>32.394371874999898</v>
      </c>
      <c r="Z10" s="17">
        <v>39.164603124999999</v>
      </c>
      <c r="AA10" s="17">
        <v>32.094328124999997</v>
      </c>
      <c r="AB10" s="18">
        <v>466.02199999999999</v>
      </c>
      <c r="AC10" s="18">
        <v>427.16</v>
      </c>
      <c r="AD10" s="18">
        <v>1481.38</v>
      </c>
      <c r="AE10" s="18">
        <v>10.484</v>
      </c>
      <c r="AG10" s="13">
        <f t="shared" si="6"/>
        <v>3.1808325000000002</v>
      </c>
      <c r="AH10" s="14">
        <f t="shared" si="7"/>
        <v>1.5555055385206362E-2</v>
      </c>
      <c r="AI10" s="14">
        <f t="shared" si="8"/>
        <v>8.0712542430874286E-3</v>
      </c>
      <c r="AJ10" s="14">
        <f t="shared" si="9"/>
        <v>4.3074759312071035E-3</v>
      </c>
      <c r="AK10" s="14">
        <f t="shared" si="10"/>
        <v>7.4838011421189321E-3</v>
      </c>
      <c r="AL10" s="11">
        <f t="shared" si="11"/>
        <v>1760512</v>
      </c>
      <c r="AM10" s="14">
        <v>-12</v>
      </c>
      <c r="AN10" s="15"/>
      <c r="AO10" s="15"/>
      <c r="AP10" s="15"/>
      <c r="AQ10" s="16">
        <v>3392888</v>
      </c>
      <c r="AR10" s="16">
        <v>939552</v>
      </c>
      <c r="AS10" s="16">
        <v>820960</v>
      </c>
      <c r="AT10" s="16">
        <v>1632376</v>
      </c>
      <c r="AU10" s="17">
        <v>65.891693750000002</v>
      </c>
      <c r="AV10" s="17">
        <v>67.765446874999995</v>
      </c>
      <c r="AW10" s="17">
        <v>32.345062499999997</v>
      </c>
      <c r="AX10" s="17">
        <v>39.175806250000001</v>
      </c>
      <c r="AY10" s="17">
        <v>32.030915624999999</v>
      </c>
      <c r="AZ10" s="18">
        <v>113.976</v>
      </c>
      <c r="BA10" s="18">
        <v>85.796999999999997</v>
      </c>
      <c r="BB10" s="18">
        <v>787</v>
      </c>
      <c r="BC10" s="18">
        <v>10.484</v>
      </c>
      <c r="BE10" s="43">
        <f t="shared" si="12"/>
        <v>1.0040194723130897</v>
      </c>
      <c r="BF10" s="19" t="e">
        <f t="shared" si="13"/>
        <v>#DIV/0!</v>
      </c>
      <c r="BG10" s="19">
        <f t="shared" si="14"/>
        <v>2.0017244522393396E-3</v>
      </c>
      <c r="BH10" s="19">
        <f t="array" ref="BH10">AVERAGE(AL10:AL14/AQ10:AQ14) - AVERAGE(N10:N14/S10:S14)</f>
        <v>1.6599442220321947E-3</v>
      </c>
      <c r="BJ10" s="43">
        <f>IF( OR(ISBLANK(N10:N14),ISBLANK(AL10:AL14), ISBLANK(W10:W14),ISBLANK(AU10:AU14)), "·", bdRateExtend( N10:N14,W10:W14, AL10:AL14,AU10:AU14))</f>
        <v>7.0470175222705489E-3</v>
      </c>
      <c r="BK10" s="43">
        <f>IF( OR(ISBLANK(N10:N14),ISBLANK(AL10:AL14), ISBLANK(X10:X14),ISBLANK(AV10:AV14)), "·", bdRateExtend( N10:N14,X10:X14, AL10:AL14,AV10:AV14))</f>
        <v>9.5850047871959276E-3</v>
      </c>
      <c r="BL10" s="43">
        <f>IF( OR(ISBLANK(V10:V14),ISBLANK(AT10:AT14), ISBLANK(Y10:Y14),ISBLANK(AW10:AW14)), "·", bdRateExtend( V10:V14,Y10:Y14, AT10:AT14,AW10:AW14))</f>
        <v>1.3522667132202404E-2</v>
      </c>
      <c r="BM10" s="43">
        <f>IF( OR(ISBLANK(V10:V14),ISBLANK(AT10:AT14), ISBLANK(Z10:Z14),ISBLANK(AX10:AX14)), "·", bdRateExtend( V10:V14,Z10:Z14, AT10:AT14,AX10:AX14))</f>
        <v>-8.5644780314393376E-3</v>
      </c>
      <c r="BN10" s="43">
        <f>IF( OR(ISBLANK(V10:V14),ISBLANK(AT10:AT14), ISBLANK(AA10:AA14),ISBLANK(AY10:AY14)), "·", bdRateExtend( V10:V14,AA10:AA14, AT10:AT14,AY10:AY14))</f>
        <v>1.7764426144006862E-2</v>
      </c>
      <c r="BP10" s="43">
        <f>IF( OR(ISBLANK(S10:S14),ISBLANK(AQ10:AQ14), ISBLANK(W10:W14),ISBLANK(AU10:AU14)), "·", bdRateExtend( S10:S14,W10:W14, AQ10:AQ14,AU10:AU14))</f>
        <v>4.4595050409375059E-3</v>
      </c>
      <c r="BQ10" s="43">
        <f>IF( OR(ISBLANK(S10:S14),ISBLANK(AQ10:AQ14), ISBLANK(X10:X14),ISBLANK(AV10:AV14)), "·", bdRateExtend( S10:S14,X10:X14, AQ10:AQ14,AV10:AV14))</f>
        <v>8.3626940591827736E-3</v>
      </c>
      <c r="BR10" s="43">
        <f>IF( OR(ISBLANK(S10:S14),ISBLANK(AQ10:AQ14), ISBLANK(Y10:Y14),ISBLANK(AW10:AW14)), "·", bdRateExtend( S10:S14,Y10:Y14, AQ10:AQ14,AW10:AW14))</f>
        <v>1.3064822086453987E-2</v>
      </c>
      <c r="BS10" s="43">
        <f>IF( OR(ISBLANK(S10:S14),ISBLANK(AQ10:AQ14), ISBLANK(Z10:Z14),ISBLANK(AX10:AX14)), "·", bdRateExtend( S10:S14,Z10:Z14, AQ10:AQ14,AX10:AX14))</f>
        <v>-4.3900139124504189E-3</v>
      </c>
      <c r="BT10" s="43">
        <f>IF( OR(ISBLANK(S10:S14),ISBLANK(AQ10:AQ14), ISBLANK(AA10:AA14),ISBLANK(AY10:AY14)), "·", bdRateExtend( S10:S14,AA10:AA14, AQ10:AQ14,AY10:AY14))</f>
        <v>1.6103964555997274E-2</v>
      </c>
      <c r="BV10" s="51">
        <f t="shared" si="15"/>
        <v>0.75542785533730172</v>
      </c>
      <c r="BW10" s="51">
        <f t="shared" si="15"/>
        <v>0.79914551924337496</v>
      </c>
      <c r="BX10" s="51">
        <f t="shared" si="15"/>
        <v>0.4687386085946888</v>
      </c>
      <c r="BY10" s="51">
        <f t="shared" si="16"/>
        <v>0.77728668729033834</v>
      </c>
      <c r="BZ10" s="55"/>
      <c r="CA10" s="51"/>
      <c r="CC10" s="57"/>
    </row>
    <row r="11" spans="1:84" outlineLevel="1" x14ac:dyDescent="0.15">
      <c r="A11" s="46"/>
      <c r="B11" s="46" t="s">
        <v>20</v>
      </c>
      <c r="C11" s="3" t="s">
        <v>145</v>
      </c>
      <c r="D11" s="46">
        <v>218121242</v>
      </c>
      <c r="E11" s="3">
        <v>10</v>
      </c>
      <c r="F11" s="3">
        <v>32</v>
      </c>
      <c r="G11" s="3">
        <v>30</v>
      </c>
      <c r="I11" s="4">
        <f t="shared" si="0"/>
        <v>4.5974775000000001</v>
      </c>
      <c r="J11" s="5">
        <f t="shared" si="1"/>
        <v>2.2482798809663848E-2</v>
      </c>
      <c r="K11" s="5">
        <f t="shared" si="2"/>
        <v>9.7882442829662596E-3</v>
      </c>
      <c r="L11" s="5">
        <f t="shared" si="3"/>
        <v>6.0244659710859336E-3</v>
      </c>
      <c r="M11" s="5">
        <f t="shared" si="4"/>
        <v>1.2694554526697589E-2</v>
      </c>
      <c r="N11" s="46">
        <f t="shared" si="5"/>
        <v>2135024</v>
      </c>
      <c r="O11" s="5">
        <v>-12</v>
      </c>
      <c r="P11" s="6">
        <v>22133832</v>
      </c>
      <c r="Q11" s="6">
        <v>691682.25</v>
      </c>
      <c r="R11" s="6">
        <v>23047.09375</v>
      </c>
      <c r="S11" s="7">
        <v>4903976</v>
      </c>
      <c r="T11" s="7">
        <v>1314064</v>
      </c>
      <c r="U11" s="7">
        <v>820960</v>
      </c>
      <c r="V11" s="7">
        <v>2768952</v>
      </c>
      <c r="W11" s="8">
        <v>67.609459374999901</v>
      </c>
      <c r="X11" s="8">
        <v>69.693121874999903</v>
      </c>
      <c r="Y11" s="8">
        <v>34.251906249999998</v>
      </c>
      <c r="Z11" s="8">
        <v>40.012206249999899</v>
      </c>
      <c r="AA11" s="8">
        <v>33.863571874999998</v>
      </c>
      <c r="AB11" s="9">
        <v>490.67200000000003</v>
      </c>
      <c r="AC11" s="9">
        <v>439.33600000000001</v>
      </c>
      <c r="AD11" s="9">
        <v>1520.53</v>
      </c>
      <c r="AE11" s="9">
        <v>10.484</v>
      </c>
      <c r="AG11" s="4">
        <f t="shared" si="6"/>
        <v>4.5896024999999998</v>
      </c>
      <c r="AH11" s="5">
        <f t="shared" si="7"/>
        <v>2.2444288117523189E-2</v>
      </c>
      <c r="AI11" s="5">
        <f t="shared" si="8"/>
        <v>9.8125243574397024E-3</v>
      </c>
      <c r="AJ11" s="5">
        <f t="shared" si="9"/>
        <v>6.0487460455593773E-3</v>
      </c>
      <c r="AK11" s="5">
        <f t="shared" si="10"/>
        <v>1.2631763760083486E-2</v>
      </c>
      <c r="AL11" s="46">
        <f t="shared" si="11"/>
        <v>2140320</v>
      </c>
      <c r="AM11" s="5">
        <v>-12</v>
      </c>
      <c r="AN11" s="6"/>
      <c r="AO11" s="6"/>
      <c r="AP11" s="6"/>
      <c r="AQ11" s="7">
        <v>4895576</v>
      </c>
      <c r="AR11" s="7">
        <v>1319360</v>
      </c>
      <c r="AS11" s="7">
        <v>820960</v>
      </c>
      <c r="AT11" s="7">
        <v>2755256</v>
      </c>
      <c r="AU11" s="8">
        <v>67.574746875000002</v>
      </c>
      <c r="AV11" s="8">
        <v>69.612724999999998</v>
      </c>
      <c r="AW11" s="8">
        <v>34.157674999999898</v>
      </c>
      <c r="AX11" s="8">
        <v>40.0433687499999</v>
      </c>
      <c r="AY11" s="8">
        <v>33.752234375</v>
      </c>
      <c r="AZ11" s="9">
        <v>129.608</v>
      </c>
      <c r="BA11" s="9">
        <v>93.171000000000006</v>
      </c>
      <c r="BB11" s="9">
        <v>814.375</v>
      </c>
      <c r="BC11" s="9">
        <v>10.375</v>
      </c>
      <c r="BE11" s="44">
        <f t="shared" si="12"/>
        <v>1.0024805341766649</v>
      </c>
      <c r="BF11" s="10" t="e">
        <f t="shared" si="13"/>
        <v>#DIV/0!</v>
      </c>
      <c r="BG11" s="10">
        <f t="shared" si="14"/>
        <v>1.8288090489818054E-3</v>
      </c>
      <c r="BH11" s="10"/>
      <c r="BJ11" s="44"/>
      <c r="BK11" s="44"/>
      <c r="BL11" s="44"/>
      <c r="BM11" s="44"/>
      <c r="BN11" s="44"/>
      <c r="BP11" s="44"/>
      <c r="BQ11" s="44"/>
      <c r="BR11" s="44"/>
      <c r="BS11" s="44"/>
      <c r="BT11" s="44"/>
      <c r="BV11" s="51">
        <f t="shared" si="15"/>
        <v>0.73585613199856525</v>
      </c>
      <c r="BW11" s="51">
        <f t="shared" si="15"/>
        <v>0.78792769087896286</v>
      </c>
      <c r="BX11" s="51">
        <f t="shared" si="15"/>
        <v>0.46441372416196985</v>
      </c>
      <c r="BY11" s="51">
        <f t="shared" si="16"/>
        <v>0.76189191143876411</v>
      </c>
      <c r="BZ11" s="55"/>
      <c r="CA11" s="51"/>
      <c r="CC11" s="57"/>
    </row>
    <row r="12" spans="1:84" outlineLevel="1" x14ac:dyDescent="0.15">
      <c r="A12" s="11"/>
      <c r="B12" s="11" t="s">
        <v>20</v>
      </c>
      <c r="C12" s="12" t="s">
        <v>146</v>
      </c>
      <c r="D12" s="11">
        <v>218121242</v>
      </c>
      <c r="E12" s="12">
        <v>10</v>
      </c>
      <c r="F12" s="12">
        <v>32</v>
      </c>
      <c r="G12" s="12">
        <v>30</v>
      </c>
      <c r="I12" s="13">
        <f t="shared" si="0"/>
        <v>7.1139150000000004</v>
      </c>
      <c r="J12" s="14">
        <f t="shared" si="1"/>
        <v>3.4788798791087025E-2</v>
      </c>
      <c r="K12" s="14">
        <f t="shared" si="2"/>
        <v>1.2487220295582215E-2</v>
      </c>
      <c r="L12" s="14">
        <f t="shared" si="3"/>
        <v>8.7234419837018892E-3</v>
      </c>
      <c r="M12" s="14">
        <f t="shared" si="4"/>
        <v>2.2301578495504806E-2</v>
      </c>
      <c r="N12" s="11">
        <f t="shared" si="5"/>
        <v>2723728</v>
      </c>
      <c r="O12" s="14">
        <v>-12</v>
      </c>
      <c r="P12" s="15">
        <v>22504730</v>
      </c>
      <c r="Q12" s="15">
        <v>703272.8125</v>
      </c>
      <c r="R12" s="15">
        <v>24737.1875</v>
      </c>
      <c r="S12" s="16">
        <v>7588176</v>
      </c>
      <c r="T12" s="16">
        <v>1902768</v>
      </c>
      <c r="U12" s="16">
        <v>820960</v>
      </c>
      <c r="V12" s="16">
        <v>4864448</v>
      </c>
      <c r="W12" s="17">
        <v>68.953246874999905</v>
      </c>
      <c r="X12" s="17">
        <v>71.331493749999893</v>
      </c>
      <c r="Y12" s="17">
        <v>36.335381249999998</v>
      </c>
      <c r="Z12" s="17">
        <v>40.939156249999897</v>
      </c>
      <c r="AA12" s="17">
        <v>35.640265624999898</v>
      </c>
      <c r="AB12" s="18">
        <v>517.66099999999994</v>
      </c>
      <c r="AC12" s="18">
        <v>451.67700000000002</v>
      </c>
      <c r="AD12" s="18">
        <v>1558.5</v>
      </c>
      <c r="AE12" s="18">
        <v>10.39</v>
      </c>
      <c r="AG12" s="13">
        <f t="shared" si="6"/>
        <v>7.1019224999999997</v>
      </c>
      <c r="AH12" s="14">
        <f t="shared" si="7"/>
        <v>3.4730152508484248E-2</v>
      </c>
      <c r="AI12" s="14">
        <f t="shared" si="8"/>
        <v>1.2516635129007747E-2</v>
      </c>
      <c r="AJ12" s="14">
        <f t="shared" si="9"/>
        <v>8.7528568171274211E-3</v>
      </c>
      <c r="AK12" s="14">
        <f t="shared" si="10"/>
        <v>2.2213517379476501E-2</v>
      </c>
      <c r="AL12" s="11">
        <f t="shared" si="11"/>
        <v>2730144</v>
      </c>
      <c r="AM12" s="14">
        <v>-12</v>
      </c>
      <c r="AN12" s="15"/>
      <c r="AO12" s="15"/>
      <c r="AP12" s="15"/>
      <c r="AQ12" s="16">
        <v>7575384</v>
      </c>
      <c r="AR12" s="16">
        <v>1909184</v>
      </c>
      <c r="AS12" s="16">
        <v>820960</v>
      </c>
      <c r="AT12" s="16">
        <v>4845240</v>
      </c>
      <c r="AU12" s="17">
        <v>68.942700000000002</v>
      </c>
      <c r="AV12" s="17">
        <v>71.312887500000002</v>
      </c>
      <c r="AW12" s="17">
        <v>36.288584374999999</v>
      </c>
      <c r="AX12" s="17">
        <v>40.937803125000002</v>
      </c>
      <c r="AY12" s="17">
        <v>35.573940624999899</v>
      </c>
      <c r="AZ12" s="18">
        <v>158.256</v>
      </c>
      <c r="BA12" s="18">
        <v>122.185</v>
      </c>
      <c r="BB12" s="18">
        <v>868.42100000000005</v>
      </c>
      <c r="BC12" s="18">
        <v>10.468</v>
      </c>
      <c r="BE12" s="43">
        <f t="shared" si="12"/>
        <v>1.0023555949786469</v>
      </c>
      <c r="BF12" s="19" t="e">
        <f t="shared" si="13"/>
        <v>#DIV/0!</v>
      </c>
      <c r="BG12" s="19">
        <f t="shared" si="14"/>
        <v>1.4530758917956077E-3</v>
      </c>
      <c r="BH12" s="19"/>
      <c r="BJ12" s="43"/>
      <c r="BK12" s="43"/>
      <c r="BL12" s="43"/>
      <c r="BM12" s="43"/>
      <c r="BN12" s="43"/>
      <c r="BP12" s="43"/>
      <c r="BQ12" s="43"/>
      <c r="BR12" s="43"/>
      <c r="BS12" s="43"/>
      <c r="BT12" s="43"/>
      <c r="BV12" s="51">
        <f t="shared" si="15"/>
        <v>0.69428641524086232</v>
      </c>
      <c r="BW12" s="51">
        <f t="shared" si="15"/>
        <v>0.72948589368066119</v>
      </c>
      <c r="BX12" s="51">
        <f t="shared" si="15"/>
        <v>0.44278408726339424</v>
      </c>
      <c r="BY12" s="51">
        <f t="shared" si="16"/>
        <v>0.71188615446076176</v>
      </c>
      <c r="BZ12" s="55"/>
      <c r="CA12" s="51"/>
      <c r="CC12" s="57"/>
    </row>
    <row r="13" spans="1:84" outlineLevel="1" x14ac:dyDescent="0.15">
      <c r="A13" s="46"/>
      <c r="B13" s="46" t="s">
        <v>20</v>
      </c>
      <c r="C13" s="3" t="s">
        <v>147</v>
      </c>
      <c r="D13" s="46">
        <v>218121242</v>
      </c>
      <c r="E13" s="3">
        <v>10</v>
      </c>
      <c r="F13" s="3">
        <v>32</v>
      </c>
      <c r="G13" s="3">
        <v>30</v>
      </c>
      <c r="I13" s="4">
        <f t="shared" si="0"/>
        <v>12.0106275</v>
      </c>
      <c r="J13" s="5">
        <f t="shared" si="1"/>
        <v>5.8734930548396569E-2</v>
      </c>
      <c r="K13" s="5">
        <f t="shared" si="2"/>
        <v>1.7163445273248534E-2</v>
      </c>
      <c r="L13" s="5">
        <f t="shared" si="3"/>
        <v>1.339966696136821E-2</v>
      </c>
      <c r="M13" s="5">
        <f t="shared" si="4"/>
        <v>4.1571485275148028E-2</v>
      </c>
      <c r="N13" s="46">
        <f t="shared" si="5"/>
        <v>3743712</v>
      </c>
      <c r="O13" s="5">
        <v>-12</v>
      </c>
      <c r="P13" s="6">
        <v>23275134</v>
      </c>
      <c r="Q13" s="6">
        <v>727347.9375</v>
      </c>
      <c r="R13" s="6">
        <v>27993.34375</v>
      </c>
      <c r="S13" s="7">
        <v>12811336</v>
      </c>
      <c r="T13" s="7">
        <v>2922752</v>
      </c>
      <c r="U13" s="7">
        <v>820960</v>
      </c>
      <c r="V13" s="7">
        <v>9067624</v>
      </c>
      <c r="W13" s="8">
        <v>70.078087499999896</v>
      </c>
      <c r="X13" s="8">
        <v>72.601274999999902</v>
      </c>
      <c r="Y13" s="8">
        <v>38.662809375000002</v>
      </c>
      <c r="Z13" s="8">
        <v>42.1082156249999</v>
      </c>
      <c r="AA13" s="8">
        <v>37.696206249999904</v>
      </c>
      <c r="AB13" s="9">
        <v>557.47799999999995</v>
      </c>
      <c r="AC13" s="9">
        <v>480.03199999999998</v>
      </c>
      <c r="AD13" s="9">
        <v>1627</v>
      </c>
      <c r="AE13" s="9">
        <v>10.25</v>
      </c>
      <c r="AG13" s="4">
        <f t="shared" si="6"/>
        <v>11.9947125</v>
      </c>
      <c r="AH13" s="5">
        <f t="shared" si="7"/>
        <v>5.865710227342278E-2</v>
      </c>
      <c r="AI13" s="5">
        <f t="shared" si="8"/>
        <v>1.7280591131055453E-2</v>
      </c>
      <c r="AJ13" s="5">
        <f t="shared" si="9"/>
        <v>1.3516812819175127E-2</v>
      </c>
      <c r="AK13" s="5">
        <f t="shared" si="10"/>
        <v>4.1376511142367324E-2</v>
      </c>
      <c r="AL13" s="46">
        <f t="shared" si="11"/>
        <v>3769264</v>
      </c>
      <c r="AM13" s="5">
        <v>-12</v>
      </c>
      <c r="AN13" s="6"/>
      <c r="AO13" s="6"/>
      <c r="AP13" s="6"/>
      <c r="AQ13" s="7">
        <v>12794360</v>
      </c>
      <c r="AR13" s="7">
        <v>2948304</v>
      </c>
      <c r="AS13" s="7">
        <v>820960</v>
      </c>
      <c r="AT13" s="7">
        <v>9025096</v>
      </c>
      <c r="AU13" s="8">
        <v>70.068465625000002</v>
      </c>
      <c r="AV13" s="8">
        <v>72.58706875</v>
      </c>
      <c r="AW13" s="8">
        <v>38.604074999999902</v>
      </c>
      <c r="AX13" s="8">
        <v>42.108065624999902</v>
      </c>
      <c r="AY13" s="8">
        <v>37.644481249999998</v>
      </c>
      <c r="AZ13" s="9">
        <v>190.70400000000001</v>
      </c>
      <c r="BA13" s="9">
        <v>160.89599999999999</v>
      </c>
      <c r="BB13" s="9">
        <v>945.125</v>
      </c>
      <c r="BC13" s="9">
        <v>10.265000000000001</v>
      </c>
      <c r="BE13" s="44">
        <f t="shared" si="12"/>
        <v>1.0068253113487364</v>
      </c>
      <c r="BF13" s="10" t="e">
        <f t="shared" si="13"/>
        <v>#DIV/0!</v>
      </c>
      <c r="BG13" s="10">
        <f t="shared" si="14"/>
        <v>2.3848558830520394E-3</v>
      </c>
      <c r="BH13" s="10"/>
      <c r="BJ13" s="44"/>
      <c r="BK13" s="44"/>
      <c r="BL13" s="44"/>
      <c r="BM13" s="44"/>
      <c r="BN13" s="44"/>
      <c r="BP13" s="44"/>
      <c r="BQ13" s="44"/>
      <c r="BR13" s="44"/>
      <c r="BS13" s="44"/>
      <c r="BT13" s="44"/>
      <c r="BV13" s="51">
        <f t="shared" si="15"/>
        <v>0.65791654558565538</v>
      </c>
      <c r="BW13" s="51">
        <f t="shared" si="15"/>
        <v>0.66482234517698813</v>
      </c>
      <c r="BX13" s="51">
        <f t="shared" si="15"/>
        <v>0.419099569760295</v>
      </c>
      <c r="BY13" s="51">
        <f t="shared" si="16"/>
        <v>0.6613694453813217</v>
      </c>
      <c r="BZ13" s="55"/>
      <c r="CA13" s="51"/>
      <c r="CC13" s="57"/>
    </row>
    <row r="14" spans="1:84" ht="14.25" outlineLevel="1" thickBot="1" x14ac:dyDescent="0.2">
      <c r="A14" s="11"/>
      <c r="B14" s="30" t="s">
        <v>20</v>
      </c>
      <c r="C14" s="31" t="s">
        <v>148</v>
      </c>
      <c r="D14" s="30">
        <v>218121242</v>
      </c>
      <c r="E14" s="31">
        <v>10</v>
      </c>
      <c r="F14" s="31">
        <v>32</v>
      </c>
      <c r="G14" s="31">
        <v>30</v>
      </c>
      <c r="I14" s="32">
        <f t="shared" si="0"/>
        <v>21.562027499999999</v>
      </c>
      <c r="J14" s="33">
        <f t="shared" si="1"/>
        <v>0.10544363212455943</v>
      </c>
      <c r="K14" s="33">
        <f t="shared" si="2"/>
        <v>2.8264354005466372E-2</v>
      </c>
      <c r="L14" s="33">
        <f t="shared" si="3"/>
        <v>2.1175159088815385E-2</v>
      </c>
      <c r="M14" s="33">
        <f t="shared" si="4"/>
        <v>7.7179278119093045E-2</v>
      </c>
      <c r="N14" s="30">
        <f t="shared" si="5"/>
        <v>6165056</v>
      </c>
      <c r="O14" s="33">
        <v>-12</v>
      </c>
      <c r="P14" s="34">
        <v>22108568</v>
      </c>
      <c r="Q14" s="34">
        <v>690892.75</v>
      </c>
      <c r="R14" s="34">
        <v>13255.34375</v>
      </c>
      <c r="S14" s="35">
        <v>22999496</v>
      </c>
      <c r="T14" s="35">
        <v>4618752</v>
      </c>
      <c r="U14" s="35">
        <v>1546304</v>
      </c>
      <c r="V14" s="35">
        <v>16834440</v>
      </c>
      <c r="W14" s="36">
        <v>70.921371874999906</v>
      </c>
      <c r="X14" s="36">
        <v>74.713256250000001</v>
      </c>
      <c r="Y14" s="36">
        <v>40.916131249999999</v>
      </c>
      <c r="Z14" s="36">
        <v>43.428543749999903</v>
      </c>
      <c r="AA14" s="36">
        <v>39.494587500000002</v>
      </c>
      <c r="AB14" s="37">
        <v>598.178</v>
      </c>
      <c r="AC14" s="37">
        <v>538.14099999999996</v>
      </c>
      <c r="AD14" s="37">
        <v>1743.52</v>
      </c>
      <c r="AE14" s="37">
        <v>10.375</v>
      </c>
      <c r="AG14" s="32">
        <f t="shared" si="6"/>
        <v>21.519547500000002</v>
      </c>
      <c r="AH14" s="33">
        <f t="shared" si="7"/>
        <v>0.10523589444809782</v>
      </c>
      <c r="AI14" s="33">
        <f t="shared" si="8"/>
        <v>2.8275100322416098E-2</v>
      </c>
      <c r="AJ14" s="33">
        <f t="shared" si="9"/>
        <v>2.118590540576511E-2</v>
      </c>
      <c r="AK14" s="33">
        <f t="shared" si="10"/>
        <v>7.6960794125681714E-2</v>
      </c>
      <c r="AL14" s="30">
        <f t="shared" si="11"/>
        <v>6167400</v>
      </c>
      <c r="AM14" s="33">
        <v>-12</v>
      </c>
      <c r="AN14" s="34"/>
      <c r="AO14" s="34"/>
      <c r="AP14" s="34"/>
      <c r="AQ14" s="35">
        <v>22954184</v>
      </c>
      <c r="AR14" s="35">
        <v>4621096</v>
      </c>
      <c r="AS14" s="35">
        <v>1546304</v>
      </c>
      <c r="AT14" s="35">
        <v>16786784</v>
      </c>
      <c r="AU14" s="36">
        <v>70.913165624999905</v>
      </c>
      <c r="AV14" s="36">
        <v>74.693581249999994</v>
      </c>
      <c r="AW14" s="36">
        <v>40.852590624999998</v>
      </c>
      <c r="AX14" s="36">
        <v>43.416843749999998</v>
      </c>
      <c r="AY14" s="36">
        <v>39.466175</v>
      </c>
      <c r="AZ14" s="37">
        <v>285.517</v>
      </c>
      <c r="BA14" s="37">
        <v>249.48</v>
      </c>
      <c r="BB14" s="37">
        <v>1143.48</v>
      </c>
      <c r="BC14" s="37">
        <v>10.452999999999999</v>
      </c>
      <c r="BE14" s="38">
        <f t="shared" si="12"/>
        <v>1.0003802074141743</v>
      </c>
      <c r="BF14" s="39" t="e">
        <f t="shared" si="13"/>
        <v>#DIV/0!</v>
      </c>
      <c r="BG14" s="39">
        <f t="shared" si="14"/>
        <v>6.31255834092459E-4</v>
      </c>
      <c r="BH14" s="39"/>
      <c r="BJ14" s="38"/>
      <c r="BK14" s="38"/>
      <c r="BL14" s="38"/>
      <c r="BM14" s="38"/>
      <c r="BN14" s="38"/>
      <c r="BP14" s="38"/>
      <c r="BQ14" s="38"/>
      <c r="BR14" s="38"/>
      <c r="BS14" s="38"/>
      <c r="BT14" s="38"/>
      <c r="BV14" s="51">
        <f t="shared" si="15"/>
        <v>0.52268889862214929</v>
      </c>
      <c r="BW14" s="51">
        <f t="shared" si="15"/>
        <v>0.53640402794063258</v>
      </c>
      <c r="BX14" s="51">
        <f t="shared" si="15"/>
        <v>0.34415435440947045</v>
      </c>
      <c r="BY14" s="51">
        <f t="shared" si="16"/>
        <v>0.52954646328139088</v>
      </c>
      <c r="BZ14" s="55">
        <f t="shared" ref="BZ14:CA14" si="17">AVERAGE(BV10:BV14)</f>
        <v>0.67323516935690686</v>
      </c>
      <c r="CA14" s="51">
        <f t="shared" si="17"/>
        <v>0.70355709538412392</v>
      </c>
      <c r="CB14" s="51">
        <f>AVERAGE(BX10:BX14)</f>
        <v>0.4278380688379636</v>
      </c>
      <c r="CC14" s="58">
        <f>AVERAGE(BY10:BY14)</f>
        <v>0.68839613237051533</v>
      </c>
      <c r="CD14" s="51">
        <f t="shared" ref="CD14:CE14" si="18">(SUM(AB10:AB14)-SUM(AZ10:AZ14))/SUM(AB10:AB14)</f>
        <v>0.66613789828255465</v>
      </c>
      <c r="CE14" s="51">
        <f t="shared" si="18"/>
        <v>0.69545221469765184</v>
      </c>
      <c r="CF14" s="51">
        <f t="shared" ref="CF14" si="19">(SUM(AB10:AC14)-SUM(AZ10:BA14))/SUM(AB10:AC14)</f>
        <v>0.67992836600349105</v>
      </c>
    </row>
    <row r="15" spans="1:84" x14ac:dyDescent="0.15">
      <c r="A15" s="46"/>
      <c r="B15" s="46" t="s">
        <v>23</v>
      </c>
      <c r="C15" s="3" t="s">
        <v>144</v>
      </c>
      <c r="D15" s="46">
        <v>322589704</v>
      </c>
      <c r="E15" s="3">
        <v>10</v>
      </c>
      <c r="F15" s="3">
        <v>32</v>
      </c>
      <c r="G15" s="3">
        <v>30</v>
      </c>
      <c r="I15" s="4">
        <f t="shared" si="0"/>
        <v>4.4048550000000004</v>
      </c>
      <c r="J15" s="5">
        <f t="shared" si="1"/>
        <v>1.4564978180456744E-2</v>
      </c>
      <c r="K15" s="5">
        <f t="shared" si="2"/>
        <v>8.2289049126006829E-3</v>
      </c>
      <c r="L15" s="5">
        <f t="shared" si="3"/>
        <v>4.3908902932624288E-3</v>
      </c>
      <c r="M15" s="5">
        <f t="shared" si="4"/>
        <v>6.3360732678560631E-3</v>
      </c>
      <c r="N15" s="46">
        <f t="shared" si="5"/>
        <v>2654560</v>
      </c>
      <c r="O15" s="5">
        <v>-12</v>
      </c>
      <c r="P15" s="6">
        <v>30898742</v>
      </c>
      <c r="Q15" s="6">
        <v>965585.6875</v>
      </c>
      <c r="R15" s="6">
        <v>27935.75</v>
      </c>
      <c r="S15" s="7">
        <v>4698512</v>
      </c>
      <c r="T15" s="7">
        <v>1416456</v>
      </c>
      <c r="U15" s="7">
        <v>1238104</v>
      </c>
      <c r="V15" s="7">
        <v>2043952</v>
      </c>
      <c r="W15" s="8">
        <v>65.895415624999998</v>
      </c>
      <c r="X15" s="8">
        <v>67.664484375000001</v>
      </c>
      <c r="Y15" s="8">
        <v>29.421203125000002</v>
      </c>
      <c r="Z15" s="8">
        <v>43.104725000000002</v>
      </c>
      <c r="AA15" s="8">
        <v>43.299262499999998</v>
      </c>
      <c r="AB15" s="9">
        <v>475.726</v>
      </c>
      <c r="AC15" s="9">
        <v>417.60199999999998</v>
      </c>
      <c r="AD15" s="9">
        <v>1775.77</v>
      </c>
      <c r="AE15" s="9">
        <v>10.093</v>
      </c>
      <c r="AG15" s="4">
        <f t="shared" si="6"/>
        <v>4.4055225</v>
      </c>
      <c r="AH15" s="5">
        <f t="shared" si="7"/>
        <v>1.4567185318475012E-2</v>
      </c>
      <c r="AI15" s="5">
        <f t="shared" si="8"/>
        <v>8.2561841465343226E-3</v>
      </c>
      <c r="AJ15" s="5">
        <f t="shared" si="9"/>
        <v>4.4181695271960694E-3</v>
      </c>
      <c r="AK15" s="5">
        <f t="shared" si="10"/>
        <v>6.3110011719406892E-3</v>
      </c>
      <c r="AL15" s="46">
        <f t="shared" si="11"/>
        <v>2663360</v>
      </c>
      <c r="AM15" s="5">
        <v>-12</v>
      </c>
      <c r="AN15" s="6"/>
      <c r="AO15" s="6"/>
      <c r="AP15" s="6"/>
      <c r="AQ15" s="7">
        <v>4699224</v>
      </c>
      <c r="AR15" s="7">
        <v>1425256</v>
      </c>
      <c r="AS15" s="7">
        <v>1238104</v>
      </c>
      <c r="AT15" s="7">
        <v>2035864</v>
      </c>
      <c r="AU15" s="8">
        <v>65.895071874999999</v>
      </c>
      <c r="AV15" s="8">
        <v>67.612378124999907</v>
      </c>
      <c r="AW15" s="8">
        <v>29.384531249999998</v>
      </c>
      <c r="AX15" s="8">
        <v>43.218018749999999</v>
      </c>
      <c r="AY15" s="8">
        <v>43.403637500000002</v>
      </c>
      <c r="AZ15" s="9">
        <v>131.654</v>
      </c>
      <c r="BA15" s="9">
        <v>104.313</v>
      </c>
      <c r="BB15" s="9">
        <v>1107.92</v>
      </c>
      <c r="BC15" s="9">
        <v>9.718</v>
      </c>
      <c r="BE15" s="44">
        <f t="shared" si="12"/>
        <v>1.0033150503284911</v>
      </c>
      <c r="BF15" s="10" t="e">
        <f t="shared" si="13"/>
        <v>#DIV/0!</v>
      </c>
      <c r="BG15" s="10">
        <f t="shared" si="14"/>
        <v>1.7870471900524043E-3</v>
      </c>
      <c r="BH15" s="10">
        <f t="array" ref="BH15">AVERAGE(AL15:AL19/AQ15:AQ19) - AVERAGE(N15:N19/S15:S19)</f>
        <v>1.7558762275226014E-3</v>
      </c>
      <c r="BJ15" s="44">
        <f>IF( OR(ISBLANK(N15:N19),ISBLANK(AL15:AL19), ISBLANK(W15:W19),ISBLANK(AU15:AU19)), "·", bdRateExtend( N15:N19,W15:W19, AL15:AL19,AU15:AU19))</f>
        <v>5.2534584012229324E-3</v>
      </c>
      <c r="BK15" s="44">
        <f>IF( OR(ISBLANK(N15:N19),ISBLANK(AL15:AL19), ISBLANK(X15:X19),ISBLANK(AV15:AV19)), "·", bdRateExtend( N15:N19,X15:X19, AL15:AL19,AV15:AV19))</f>
        <v>9.5643883820322184E-3</v>
      </c>
      <c r="BL15" s="44">
        <f>IF( OR(ISBLANK(V15:V19),ISBLANK(AT15:AT19), ISBLANK(Y15:Y19),ISBLANK(AW15:AW19)), "·", bdRateExtend( V15:V19,Y15:Y19, AT15:AT19,AW15:AW19))</f>
        <v>1.0945545856873684E-2</v>
      </c>
      <c r="BM15" s="44">
        <f>IF( OR(ISBLANK(V15:V19),ISBLANK(AT15:AT19), ISBLANK(Z15:Z19),ISBLANK(AX15:AX19)), "·", bdRateExtend( V15:V19,Z15:Z19, AT15:AT19,AX15:AX19))</f>
        <v>-7.2139048782399295E-2</v>
      </c>
      <c r="BN15" s="44">
        <f>IF( OR(ISBLANK(V15:V19),ISBLANK(AT15:AT19), ISBLANK(AA15:AA19),ISBLANK(AY15:AY19)), "·", bdRateExtend( V15:V19,AA15:AA19, AT15:AT19,AY15:AY19))</f>
        <v>-7.3347976496594525E-2</v>
      </c>
      <c r="BP15" s="44">
        <f>IF( OR(ISBLANK(S15:S19),ISBLANK(AQ15:AQ19), ISBLANK(W15:W19),ISBLANK(AU15:AU19)), "·", bdRateExtend( S15:S19,W15:W19, AQ15:AQ19,AU15:AU19))</f>
        <v>1.3169160965582627E-3</v>
      </c>
      <c r="BQ15" s="44">
        <f>IF( OR(ISBLANK(S15:S19),ISBLANK(AQ15:AQ19), ISBLANK(X15:X19),ISBLANK(AV15:AV19)), "·", bdRateExtend( S15:S19,X15:X19, AQ15:AQ19,AV15:AV19))</f>
        <v>9.7455034938127572E-3</v>
      </c>
      <c r="BR15" s="44">
        <f>IF( OR(ISBLANK(S15:S19),ISBLANK(AQ15:AQ19), ISBLANK(Y15:Y19),ISBLANK(AW15:AW19)), "·", bdRateExtend( S15:S19,Y15:Y19, AQ15:AQ19,AW15:AW19))</f>
        <v>1.0543036818878804E-2</v>
      </c>
      <c r="BS15" s="44">
        <f>IF( OR(ISBLANK(S15:S19),ISBLANK(AQ15:AQ19), ISBLANK(Z15:Z19),ISBLANK(AX15:AX19)), "·", bdRateExtend( S15:S19,Z15:Z19, AQ15:AQ19,AX15:AX19))</f>
        <v>-5.3477125774488821E-2</v>
      </c>
      <c r="BT15" s="44">
        <f>IF( OR(ISBLANK(S15:S19),ISBLANK(AQ15:AQ19), ISBLANK(AA15:AA19),ISBLANK(AY15:AY19)), "·", bdRateExtend( S15:S19,AA15:AA19, AQ15:AQ19,AY15:AY19))</f>
        <v>-5.4405738356302691E-2</v>
      </c>
      <c r="BV15" s="51">
        <f>(AB15-AZ15)/AB15</f>
        <v>0.72325666455060267</v>
      </c>
      <c r="BW15" s="51">
        <f t="shared" si="15"/>
        <v>0.75020952964784648</v>
      </c>
      <c r="BX15" s="51">
        <f t="shared" si="15"/>
        <v>0.37609037206394968</v>
      </c>
      <c r="BY15" s="51">
        <f t="shared" si="16"/>
        <v>0.73673309709922452</v>
      </c>
      <c r="BZ15" s="55"/>
      <c r="CA15" s="51"/>
      <c r="CC15" s="57"/>
    </row>
    <row r="16" spans="1:84" outlineLevel="1" x14ac:dyDescent="0.15">
      <c r="A16" s="11"/>
      <c r="B16" s="11" t="s">
        <v>23</v>
      </c>
      <c r="C16" s="12" t="s">
        <v>145</v>
      </c>
      <c r="D16" s="11">
        <v>322589704</v>
      </c>
      <c r="E16" s="12">
        <v>10</v>
      </c>
      <c r="F16" s="12">
        <v>32</v>
      </c>
      <c r="G16" s="12">
        <v>30</v>
      </c>
      <c r="I16" s="13">
        <f t="shared" si="0"/>
        <v>7.0023150000000003</v>
      </c>
      <c r="J16" s="14">
        <f t="shared" si="1"/>
        <v>2.3153671389338576E-2</v>
      </c>
      <c r="K16" s="14">
        <f t="shared" si="2"/>
        <v>1.0043048367098536E-2</v>
      </c>
      <c r="L16" s="14">
        <f t="shared" si="3"/>
        <v>6.2050337477602821E-3</v>
      </c>
      <c r="M16" s="14">
        <f t="shared" si="4"/>
        <v>1.311062302224004E-2</v>
      </c>
      <c r="N16" s="11">
        <f t="shared" si="5"/>
        <v>3239784</v>
      </c>
      <c r="O16" s="14">
        <v>-12</v>
      </c>
      <c r="P16" s="15">
        <v>33174723</v>
      </c>
      <c r="Q16" s="15">
        <v>1036710.09375</v>
      </c>
      <c r="R16" s="15">
        <v>34658.125</v>
      </c>
      <c r="S16" s="16">
        <v>7469136</v>
      </c>
      <c r="T16" s="16">
        <v>2001680</v>
      </c>
      <c r="U16" s="16">
        <v>1238104</v>
      </c>
      <c r="V16" s="16">
        <v>4229352</v>
      </c>
      <c r="W16" s="17">
        <v>67.721312499999996</v>
      </c>
      <c r="X16" s="17">
        <v>69.756862499999997</v>
      </c>
      <c r="Y16" s="17">
        <v>31.811240625</v>
      </c>
      <c r="Z16" s="17">
        <v>43.961996874999997</v>
      </c>
      <c r="AA16" s="17">
        <v>44.231640624999997</v>
      </c>
      <c r="AB16" s="18">
        <v>520.83500000000004</v>
      </c>
      <c r="AC16" s="18">
        <v>431.221</v>
      </c>
      <c r="AD16" s="18">
        <v>1836.77</v>
      </c>
      <c r="AE16" s="18">
        <v>9.843</v>
      </c>
      <c r="AG16" s="13">
        <f t="shared" si="6"/>
        <v>6.9843149999999996</v>
      </c>
      <c r="AH16" s="14">
        <f t="shared" si="7"/>
        <v>2.3094153060756087E-2</v>
      </c>
      <c r="AI16" s="14">
        <f t="shared" si="8"/>
        <v>1.0069211632371256E-2</v>
      </c>
      <c r="AJ16" s="14">
        <f t="shared" si="9"/>
        <v>6.2311970130330008E-3</v>
      </c>
      <c r="AK16" s="14">
        <f t="shared" si="10"/>
        <v>1.3024941428384831E-2</v>
      </c>
      <c r="AL16" s="11">
        <f t="shared" si="11"/>
        <v>3248224</v>
      </c>
      <c r="AM16" s="14">
        <v>-12</v>
      </c>
      <c r="AN16" s="15"/>
      <c r="AO16" s="15"/>
      <c r="AP16" s="15"/>
      <c r="AQ16" s="16">
        <v>7449936</v>
      </c>
      <c r="AR16" s="16">
        <v>2010120</v>
      </c>
      <c r="AS16" s="16">
        <v>1238104</v>
      </c>
      <c r="AT16" s="16">
        <v>4201712</v>
      </c>
      <c r="AU16" s="17">
        <v>67.6955375</v>
      </c>
      <c r="AV16" s="17">
        <v>69.670203124999901</v>
      </c>
      <c r="AW16" s="17">
        <v>31.728275</v>
      </c>
      <c r="AX16" s="17">
        <v>44.165962499999999</v>
      </c>
      <c r="AY16" s="17">
        <v>44.468037500000001</v>
      </c>
      <c r="AZ16" s="18">
        <v>154.69800000000001</v>
      </c>
      <c r="BA16" s="18">
        <v>110.872</v>
      </c>
      <c r="BB16" s="18">
        <v>1137.78</v>
      </c>
      <c r="BC16" s="18">
        <v>9.859</v>
      </c>
      <c r="BE16" s="43">
        <f t="shared" si="12"/>
        <v>1.0026051119457347</v>
      </c>
      <c r="BF16" s="19" t="e">
        <f t="shared" si="13"/>
        <v>#DIV/0!</v>
      </c>
      <c r="BG16" s="19">
        <f t="shared" si="14"/>
        <v>2.2507735522773742E-3</v>
      </c>
      <c r="BH16" s="19"/>
      <c r="BJ16" s="43"/>
      <c r="BK16" s="43"/>
      <c r="BL16" s="43"/>
      <c r="BM16" s="43"/>
      <c r="BN16" s="43"/>
      <c r="BP16" s="43"/>
      <c r="BQ16" s="43"/>
      <c r="BR16" s="43"/>
      <c r="BS16" s="43"/>
      <c r="BT16" s="43"/>
      <c r="BV16" s="51">
        <f t="shared" ref="BV16:BX29" si="20">(AB16-AZ16)/AB16</f>
        <v>0.70298079046147055</v>
      </c>
      <c r="BW16" s="51">
        <f t="shared" si="15"/>
        <v>0.7428882174105621</v>
      </c>
      <c r="BX16" s="51">
        <f t="shared" si="15"/>
        <v>0.38055390713045184</v>
      </c>
      <c r="BY16" s="51">
        <f t="shared" si="16"/>
        <v>0.72293450393601633</v>
      </c>
      <c r="BZ16" s="55"/>
      <c r="CA16" s="51"/>
      <c r="CC16" s="57"/>
    </row>
    <row r="17" spans="1:84" outlineLevel="1" x14ac:dyDescent="0.15">
      <c r="A17" s="46"/>
      <c r="B17" s="46" t="s">
        <v>23</v>
      </c>
      <c r="C17" s="3" t="s">
        <v>146</v>
      </c>
      <c r="D17" s="46">
        <v>322589704</v>
      </c>
      <c r="E17" s="3">
        <v>10</v>
      </c>
      <c r="F17" s="3">
        <v>32</v>
      </c>
      <c r="G17" s="3">
        <v>30</v>
      </c>
      <c r="I17" s="4">
        <f t="shared" si="0"/>
        <v>11.682667500000001</v>
      </c>
      <c r="J17" s="5">
        <f t="shared" si="1"/>
        <v>3.8629602388053901E-2</v>
      </c>
      <c r="K17" s="5">
        <f t="shared" si="2"/>
        <v>1.2780990679107353E-2</v>
      </c>
      <c r="L17" s="5">
        <f t="shared" si="3"/>
        <v>8.9429760597690994E-3</v>
      </c>
      <c r="M17" s="5">
        <f t="shared" si="4"/>
        <v>2.5848611708946544E-2</v>
      </c>
      <c r="N17" s="46">
        <f t="shared" si="5"/>
        <v>4123016</v>
      </c>
      <c r="O17" s="5">
        <v>-12</v>
      </c>
      <c r="P17" s="6">
        <v>33536779</v>
      </c>
      <c r="Q17" s="6">
        <v>1048024.34375</v>
      </c>
      <c r="R17" s="6">
        <v>36443.15625</v>
      </c>
      <c r="S17" s="7">
        <v>12461512</v>
      </c>
      <c r="T17" s="7">
        <v>2884912</v>
      </c>
      <c r="U17" s="7">
        <v>1238104</v>
      </c>
      <c r="V17" s="7">
        <v>8338496</v>
      </c>
      <c r="W17" s="8">
        <v>69.122003125000006</v>
      </c>
      <c r="X17" s="8">
        <v>71.601190624999902</v>
      </c>
      <c r="Y17" s="8">
        <v>34.352246874999999</v>
      </c>
      <c r="Z17" s="8">
        <v>44.816187499999998</v>
      </c>
      <c r="AA17" s="8">
        <v>45.212228124999903</v>
      </c>
      <c r="AB17" s="9">
        <v>560.51199999999994</v>
      </c>
      <c r="AC17" s="9">
        <v>465.22800000000001</v>
      </c>
      <c r="AD17" s="9">
        <v>1911.09</v>
      </c>
      <c r="AE17" s="9">
        <v>9.75</v>
      </c>
      <c r="AG17" s="4">
        <f t="shared" si="6"/>
        <v>11.6411625</v>
      </c>
      <c r="AH17" s="5">
        <f t="shared" si="7"/>
        <v>3.8492363042064111E-2</v>
      </c>
      <c r="AI17" s="5">
        <f t="shared" si="8"/>
        <v>1.2815585707595925E-2</v>
      </c>
      <c r="AJ17" s="5">
        <f t="shared" si="9"/>
        <v>8.9775710882576704E-3</v>
      </c>
      <c r="AK17" s="5">
        <f t="shared" si="10"/>
        <v>2.5676777334468184E-2</v>
      </c>
      <c r="AL17" s="46">
        <f t="shared" si="11"/>
        <v>4134176</v>
      </c>
      <c r="AM17" s="5">
        <v>-12</v>
      </c>
      <c r="AN17" s="6"/>
      <c r="AO17" s="6"/>
      <c r="AP17" s="6"/>
      <c r="AQ17" s="7">
        <v>12417240</v>
      </c>
      <c r="AR17" s="7">
        <v>2896072</v>
      </c>
      <c r="AS17" s="7">
        <v>1238104</v>
      </c>
      <c r="AT17" s="7">
        <v>8283064</v>
      </c>
      <c r="AU17" s="8">
        <v>69.133690625</v>
      </c>
      <c r="AV17" s="8">
        <v>71.574746875000002</v>
      </c>
      <c r="AW17" s="8">
        <v>34.301831249999999</v>
      </c>
      <c r="AX17" s="8">
        <v>44.885199999999998</v>
      </c>
      <c r="AY17" s="8">
        <v>45.281990624999999</v>
      </c>
      <c r="AZ17" s="9">
        <v>193.828</v>
      </c>
      <c r="BA17" s="9">
        <v>182.465</v>
      </c>
      <c r="BB17" s="9">
        <v>1246.6099999999999</v>
      </c>
      <c r="BC17" s="9">
        <v>9.7650000000000006</v>
      </c>
      <c r="BE17" s="44">
        <f t="shared" si="12"/>
        <v>1.0027067564132666</v>
      </c>
      <c r="BF17" s="10" t="e">
        <f t="shared" si="13"/>
        <v>#DIV/0!</v>
      </c>
      <c r="BG17" s="10">
        <f t="shared" si="14"/>
        <v>2.0783873402013264E-3</v>
      </c>
      <c r="BH17" s="10"/>
      <c r="BJ17" s="44"/>
      <c r="BK17" s="44"/>
      <c r="BL17" s="44"/>
      <c r="BM17" s="44"/>
      <c r="BN17" s="44"/>
      <c r="BP17" s="44"/>
      <c r="BQ17" s="44"/>
      <c r="BR17" s="44"/>
      <c r="BS17" s="44"/>
      <c r="BT17" s="44"/>
      <c r="BV17" s="51">
        <f t="shared" si="20"/>
        <v>0.65419473624115099</v>
      </c>
      <c r="BW17" s="51">
        <f t="shared" si="15"/>
        <v>0.60779445777124341</v>
      </c>
      <c r="BX17" s="51">
        <f>(AD17-BB17)/AD17</f>
        <v>0.34769686409326617</v>
      </c>
      <c r="BY17" s="51">
        <f t="shared" si="16"/>
        <v>0.6309945970061972</v>
      </c>
      <c r="BZ17" s="55"/>
      <c r="CA17" s="51"/>
      <c r="CC17" s="57"/>
    </row>
    <row r="18" spans="1:84" outlineLevel="1" x14ac:dyDescent="0.15">
      <c r="A18" s="11"/>
      <c r="B18" s="11" t="s">
        <v>23</v>
      </c>
      <c r="C18" s="12" t="s">
        <v>147</v>
      </c>
      <c r="D18" s="11">
        <v>322589704</v>
      </c>
      <c r="E18" s="12">
        <v>10</v>
      </c>
      <c r="F18" s="12">
        <v>32</v>
      </c>
      <c r="G18" s="12">
        <v>30</v>
      </c>
      <c r="I18" s="13">
        <f t="shared" si="0"/>
        <v>20.167642499999999</v>
      </c>
      <c r="J18" s="14">
        <f t="shared" si="1"/>
        <v>6.6685798502732124E-2</v>
      </c>
      <c r="K18" s="14">
        <f t="shared" si="2"/>
        <v>1.7280179531086338E-2</v>
      </c>
      <c r="L18" s="14">
        <f t="shared" si="3"/>
        <v>1.3442164911748083E-2</v>
      </c>
      <c r="M18" s="14">
        <f t="shared" si="4"/>
        <v>4.940561897164579E-2</v>
      </c>
      <c r="N18" s="11">
        <f t="shared" si="5"/>
        <v>5574408</v>
      </c>
      <c r="O18" s="14">
        <v>-12</v>
      </c>
      <c r="P18" s="15">
        <v>34802045</v>
      </c>
      <c r="Q18" s="15">
        <v>1087563.90625</v>
      </c>
      <c r="R18" s="15">
        <v>40924.21875</v>
      </c>
      <c r="S18" s="16">
        <v>21512152</v>
      </c>
      <c r="T18" s="16">
        <v>4336304</v>
      </c>
      <c r="U18" s="16">
        <v>1238104</v>
      </c>
      <c r="V18" s="16">
        <v>15937744</v>
      </c>
      <c r="W18" s="17">
        <v>70.369831250000004</v>
      </c>
      <c r="X18" s="17">
        <v>72.947381249999907</v>
      </c>
      <c r="Y18" s="17">
        <v>37.033359375000003</v>
      </c>
      <c r="Z18" s="17">
        <v>46.129693750000001</v>
      </c>
      <c r="AA18" s="17">
        <v>46.645259375000002</v>
      </c>
      <c r="AB18" s="18">
        <v>607.78800000000001</v>
      </c>
      <c r="AC18" s="18">
        <v>537.05799999999999</v>
      </c>
      <c r="AD18" s="18">
        <v>2033.27</v>
      </c>
      <c r="AE18" s="18">
        <v>9.8119999999999994</v>
      </c>
      <c r="AG18" s="13">
        <f t="shared" si="6"/>
        <v>20.119965000000001</v>
      </c>
      <c r="AH18" s="14">
        <f t="shared" si="7"/>
        <v>6.6528149329899255E-2</v>
      </c>
      <c r="AI18" s="14">
        <f t="shared" si="8"/>
        <v>1.7377938385783075E-2</v>
      </c>
      <c r="AJ18" s="14">
        <f t="shared" si="9"/>
        <v>1.3539923766444821E-2</v>
      </c>
      <c r="AK18" s="14">
        <f t="shared" si="10"/>
        <v>4.9150210944116181E-2</v>
      </c>
      <c r="AL18" s="11">
        <f t="shared" si="11"/>
        <v>5605944</v>
      </c>
      <c r="AM18" s="14">
        <v>-12</v>
      </c>
      <c r="AN18" s="15"/>
      <c r="AO18" s="15"/>
      <c r="AP18" s="15"/>
      <c r="AQ18" s="16">
        <v>21461296</v>
      </c>
      <c r="AR18" s="16">
        <v>4367840</v>
      </c>
      <c r="AS18" s="16">
        <v>1238104</v>
      </c>
      <c r="AT18" s="16">
        <v>15855352</v>
      </c>
      <c r="AU18" s="17">
        <v>70.356299999999905</v>
      </c>
      <c r="AV18" s="17">
        <v>72.928190624999999</v>
      </c>
      <c r="AW18" s="17">
        <v>36.973759374999901</v>
      </c>
      <c r="AX18" s="17">
        <v>46.228340625000001</v>
      </c>
      <c r="AY18" s="17">
        <v>46.754115624999997</v>
      </c>
      <c r="AZ18" s="18">
        <v>245.85400000000001</v>
      </c>
      <c r="BA18" s="18">
        <v>270.04599999999999</v>
      </c>
      <c r="BB18" s="18">
        <v>1390.97</v>
      </c>
      <c r="BC18" s="18">
        <v>9.9209999999999994</v>
      </c>
      <c r="BE18" s="43">
        <f t="shared" si="12"/>
        <v>1.005657282351776</v>
      </c>
      <c r="BF18" s="19" t="e">
        <f t="shared" si="13"/>
        <v>#DIV/0!</v>
      </c>
      <c r="BG18" s="19">
        <f t="shared" si="14"/>
        <v>2.0834822974982181E-3</v>
      </c>
      <c r="BH18" s="19"/>
      <c r="BJ18" s="43"/>
      <c r="BK18" s="43"/>
      <c r="BL18" s="43"/>
      <c r="BM18" s="43"/>
      <c r="BN18" s="43"/>
      <c r="BP18" s="43"/>
      <c r="BQ18" s="43"/>
      <c r="BR18" s="43"/>
      <c r="BS18" s="43"/>
      <c r="BT18" s="43"/>
      <c r="BV18" s="51">
        <f t="shared" si="20"/>
        <v>0.59549382350424818</v>
      </c>
      <c r="BW18" s="51">
        <f t="shared" si="15"/>
        <v>0.49717535163799814</v>
      </c>
      <c r="BX18" s="51">
        <f t="shared" si="15"/>
        <v>0.31589508525675386</v>
      </c>
      <c r="BY18" s="51">
        <f t="shared" si="16"/>
        <v>0.54633458757112319</v>
      </c>
      <c r="BZ18" s="55"/>
      <c r="CA18" s="51"/>
      <c r="CC18" s="57"/>
    </row>
    <row r="19" spans="1:84" ht="14.25" outlineLevel="1" thickBot="1" x14ac:dyDescent="0.2">
      <c r="A19" s="46"/>
      <c r="B19" s="20" t="s">
        <v>23</v>
      </c>
      <c r="C19" s="21" t="s">
        <v>148</v>
      </c>
      <c r="D19" s="20">
        <v>322589704</v>
      </c>
      <c r="E19" s="21">
        <v>10</v>
      </c>
      <c r="F19" s="21">
        <v>32</v>
      </c>
      <c r="G19" s="21">
        <v>30</v>
      </c>
      <c r="I19" s="22">
        <f t="shared" si="0"/>
        <v>35.688764999999997</v>
      </c>
      <c r="J19" s="23">
        <f t="shared" si="1"/>
        <v>0.11800753566518044</v>
      </c>
      <c r="K19" s="23">
        <f t="shared" si="2"/>
        <v>2.7760638014659018E-2</v>
      </c>
      <c r="L19" s="23">
        <f t="shared" si="3"/>
        <v>2.064958651005179E-2</v>
      </c>
      <c r="M19" s="23">
        <f t="shared" si="4"/>
        <v>9.0246897650521421E-2</v>
      </c>
      <c r="N19" s="20">
        <f t="shared" si="5"/>
        <v>8955296</v>
      </c>
      <c r="O19" s="23">
        <v>-12</v>
      </c>
      <c r="P19" s="24">
        <v>33040002</v>
      </c>
      <c r="Q19" s="24">
        <v>1032500.0625</v>
      </c>
      <c r="R19" s="24">
        <v>17720.5</v>
      </c>
      <c r="S19" s="25">
        <v>38068016</v>
      </c>
      <c r="T19" s="25">
        <v>6661344</v>
      </c>
      <c r="U19" s="25">
        <v>2293952</v>
      </c>
      <c r="V19" s="25">
        <v>29112720</v>
      </c>
      <c r="W19" s="26">
        <v>71.147937499999898</v>
      </c>
      <c r="X19" s="26">
        <v>75.002496874999906</v>
      </c>
      <c r="Y19" s="26">
        <v>39.495606249999902</v>
      </c>
      <c r="Z19" s="26">
        <v>47.874012499999999</v>
      </c>
      <c r="AA19" s="26">
        <v>48.468343750000003</v>
      </c>
      <c r="AB19" s="27">
        <v>675.197</v>
      </c>
      <c r="AC19" s="27">
        <v>651.59500000000003</v>
      </c>
      <c r="AD19" s="27">
        <v>2228.9499999999998</v>
      </c>
      <c r="AE19" s="27">
        <v>9.89</v>
      </c>
      <c r="AG19" s="22">
        <f t="shared" si="6"/>
        <v>35.636497499999997</v>
      </c>
      <c r="AH19" s="23">
        <f t="shared" si="7"/>
        <v>0.11783470931855904</v>
      </c>
      <c r="AI19" s="23">
        <f t="shared" si="8"/>
        <v>2.7788289238146299E-2</v>
      </c>
      <c r="AJ19" s="23">
        <f t="shared" si="9"/>
        <v>2.0677237733539071E-2</v>
      </c>
      <c r="AK19" s="23">
        <f t="shared" si="10"/>
        <v>9.0046420080412734E-2</v>
      </c>
      <c r="AL19" s="20">
        <f t="shared" si="11"/>
        <v>8964216</v>
      </c>
      <c r="AM19" s="23">
        <v>-12</v>
      </c>
      <c r="AN19" s="24"/>
      <c r="AO19" s="24"/>
      <c r="AP19" s="24"/>
      <c r="AQ19" s="25">
        <v>38012264</v>
      </c>
      <c r="AR19" s="25">
        <v>6670264</v>
      </c>
      <c r="AS19" s="25">
        <v>2293952</v>
      </c>
      <c r="AT19" s="25">
        <v>29048048</v>
      </c>
      <c r="AU19" s="26">
        <v>71.145499999999998</v>
      </c>
      <c r="AV19" s="26">
        <v>74.981674999999996</v>
      </c>
      <c r="AW19" s="26">
        <v>39.433353124999996</v>
      </c>
      <c r="AX19" s="26">
        <v>47.935028125000002</v>
      </c>
      <c r="AY19" s="26">
        <v>48.538953124999999</v>
      </c>
      <c r="AZ19" s="27">
        <v>355.74200000000002</v>
      </c>
      <c r="BA19" s="27">
        <v>421.30700000000002</v>
      </c>
      <c r="BB19" s="27">
        <v>1662.34</v>
      </c>
      <c r="BC19" s="27">
        <v>9.7810000000000006</v>
      </c>
      <c r="BE19" s="28">
        <f t="shared" si="12"/>
        <v>1.0009960586450743</v>
      </c>
      <c r="BF19" s="29" t="e">
        <f t="shared" si="13"/>
        <v>#DIV/0!</v>
      </c>
      <c r="BG19" s="29">
        <f t="shared" si="14"/>
        <v>5.796907575839616E-4</v>
      </c>
      <c r="BH19" s="29"/>
      <c r="BJ19" s="28"/>
      <c r="BK19" s="28"/>
      <c r="BL19" s="28"/>
      <c r="BM19" s="28"/>
      <c r="BN19" s="28"/>
      <c r="BP19" s="28"/>
      <c r="BQ19" s="28"/>
      <c r="BR19" s="28"/>
      <c r="BS19" s="28"/>
      <c r="BT19" s="28"/>
      <c r="BV19" s="51">
        <f t="shared" si="20"/>
        <v>0.47312858321349172</v>
      </c>
      <c r="BW19" s="51">
        <f t="shared" si="15"/>
        <v>0.35342198758431237</v>
      </c>
      <c r="BX19" s="51">
        <f t="shared" si="15"/>
        <v>0.25420489468135216</v>
      </c>
      <c r="BY19" s="51">
        <f t="shared" si="16"/>
        <v>0.41327528539890201</v>
      </c>
      <c r="BZ19" s="55">
        <f t="shared" ref="BZ19:CA19" si="21">AVERAGE(BV15:BV19)</f>
        <v>0.62981091959419289</v>
      </c>
      <c r="CA19" s="51">
        <f t="shared" si="21"/>
        <v>0.59029790881039257</v>
      </c>
      <c r="CB19" s="51">
        <f>AVERAGE(BX15:BX19)</f>
        <v>0.33488822464515478</v>
      </c>
      <c r="CC19" s="58">
        <f>AVERAGE(BY15:BY19)</f>
        <v>0.61005441420229256</v>
      </c>
      <c r="CD19" s="51">
        <f t="shared" ref="CD19:CE19" si="22">(SUM(AB15:AB19)-SUM(AZ15:AZ19))/SUM(AB15:AB19)</f>
        <v>0.61910073667509602</v>
      </c>
      <c r="CE19" s="51">
        <f t="shared" si="22"/>
        <v>0.56486943721670635</v>
      </c>
      <c r="CF19" s="51">
        <f t="shared" ref="CF19" si="23">(SUM(AB15:AC19)-SUM(AZ15:BA19))/SUM(AB15:AC19)</f>
        <v>0.59369723000949692</v>
      </c>
    </row>
    <row r="20" spans="1:84" x14ac:dyDescent="0.15">
      <c r="A20" s="11"/>
      <c r="B20" s="11" t="s">
        <v>26</v>
      </c>
      <c r="C20" s="12" t="s">
        <v>144</v>
      </c>
      <c r="D20" s="11">
        <v>250602891</v>
      </c>
      <c r="E20" s="12">
        <v>10</v>
      </c>
      <c r="F20" s="12">
        <v>32</v>
      </c>
      <c r="G20" s="12">
        <v>50</v>
      </c>
      <c r="I20" s="13">
        <f t="shared" si="0"/>
        <v>5.0936000000000003</v>
      </c>
      <c r="J20" s="14">
        <f t="shared" si="1"/>
        <v>1.3008245782767127E-2</v>
      </c>
      <c r="K20" s="14">
        <f t="shared" si="2"/>
        <v>7.583088895810065E-3</v>
      </c>
      <c r="L20" s="14">
        <f t="shared" si="3"/>
        <v>3.7914646403660202E-3</v>
      </c>
      <c r="M20" s="14">
        <f t="shared" si="4"/>
        <v>5.425156886957062E-3</v>
      </c>
      <c r="N20" s="11">
        <f t="shared" si="5"/>
        <v>1900344</v>
      </c>
      <c r="O20" s="14">
        <v>-12</v>
      </c>
      <c r="P20" s="15">
        <v>30202618</v>
      </c>
      <c r="Q20" s="15">
        <v>943831.8125</v>
      </c>
      <c r="R20" s="15">
        <v>27795.1875</v>
      </c>
      <c r="S20" s="16">
        <v>3259904</v>
      </c>
      <c r="T20" s="16">
        <v>950152</v>
      </c>
      <c r="U20" s="16">
        <v>950192</v>
      </c>
      <c r="V20" s="16">
        <v>1359560</v>
      </c>
      <c r="W20" s="17">
        <v>67.119896874999995</v>
      </c>
      <c r="X20" s="17">
        <v>68.826574999999906</v>
      </c>
      <c r="Y20" s="17">
        <v>30.701740624999999</v>
      </c>
      <c r="Z20" s="17">
        <v>39.504118749999897</v>
      </c>
      <c r="AA20" s="17">
        <v>38.223546874999997</v>
      </c>
      <c r="AB20" s="18">
        <v>517.50800000000004</v>
      </c>
      <c r="AC20" s="18">
        <v>460.06200000000001</v>
      </c>
      <c r="AD20" s="18">
        <v>1816.06</v>
      </c>
      <c r="AE20" s="18">
        <v>10.875</v>
      </c>
      <c r="AG20" s="13">
        <f t="shared" si="6"/>
        <v>5.1128875000000003</v>
      </c>
      <c r="AH20" s="14">
        <f t="shared" si="7"/>
        <v>1.3057502995845327E-2</v>
      </c>
      <c r="AI20" s="14">
        <f t="shared" si="8"/>
        <v>7.6290261152653664E-3</v>
      </c>
      <c r="AJ20" s="14">
        <f t="shared" si="9"/>
        <v>3.837401859821322E-3</v>
      </c>
      <c r="AK20" s="14">
        <f t="shared" si="10"/>
        <v>5.4284768805799612E-3</v>
      </c>
      <c r="AL20" s="11">
        <f t="shared" si="11"/>
        <v>1911856</v>
      </c>
      <c r="AM20" s="14">
        <v>-12</v>
      </c>
      <c r="AN20" s="15"/>
      <c r="AO20" s="15"/>
      <c r="AP20" s="15"/>
      <c r="AQ20" s="16">
        <v>3272248</v>
      </c>
      <c r="AR20" s="16">
        <v>961664</v>
      </c>
      <c r="AS20" s="16">
        <v>950192</v>
      </c>
      <c r="AT20" s="16">
        <v>1360392</v>
      </c>
      <c r="AU20" s="17">
        <v>67.084571874999995</v>
      </c>
      <c r="AV20" s="17">
        <v>68.755721875000006</v>
      </c>
      <c r="AW20" s="17">
        <v>30.5479374999999</v>
      </c>
      <c r="AX20" s="17">
        <v>39.43874375</v>
      </c>
      <c r="AY20" s="17">
        <v>38.092568749999998</v>
      </c>
      <c r="AZ20" s="18">
        <v>127.241</v>
      </c>
      <c r="BA20" s="18">
        <v>97.712000000000003</v>
      </c>
      <c r="BB20" s="18">
        <v>1060.9100000000001</v>
      </c>
      <c r="BC20" s="18">
        <v>10.765000000000001</v>
      </c>
      <c r="BE20" s="43">
        <f t="shared" si="12"/>
        <v>1.0060578505786322</v>
      </c>
      <c r="BF20" s="19" t="e">
        <f t="shared" si="13"/>
        <v>#DIV/0!</v>
      </c>
      <c r="BG20" s="19">
        <f t="shared" si="14"/>
        <v>1.3190105737080904E-3</v>
      </c>
      <c r="BH20" s="19">
        <f t="array" ref="BH20">AVERAGE(AL20:AL24/AQ20:AQ24) - AVERAGE(N20:N24/S20:S24)</f>
        <v>3.1080585366699554E-3</v>
      </c>
      <c r="BJ20" s="43">
        <f>IF( OR(ISBLANK(N20:N24),ISBLANK(AL20:AL24), ISBLANK(W20:W24),ISBLANK(AU20:AU24)), "·", bdRateExtend( N20:N24,W20:W24, AL20:AL24,AU20:AU24))</f>
        <v>9.7162988685299823E-3</v>
      </c>
      <c r="BK20" s="43">
        <f>IF( OR(ISBLANK(N20:N24),ISBLANK(AL20:AL24), ISBLANK(X20:X24),ISBLANK(AV20:AV24)), "·", bdRateExtend( N20:N24,X20:X24, AL20:AL24,AV20:AV24))</f>
        <v>1.0138777725524628E-2</v>
      </c>
      <c r="BL20" s="43">
        <f>IF( OR(ISBLANK(V20:V24),ISBLANK(AT20:AT24), ISBLANK(Y20:Y24),ISBLANK(AW20:AW24)), "·", bdRateExtend( V20:V24,Y20:Y24, AT20:AT24,AW20:AW24))</f>
        <v>8.2434924487915229E-2</v>
      </c>
      <c r="BM20" s="43">
        <f>IF( OR(ISBLANK(V20:V24),ISBLANK(AT20:AT24), ISBLANK(Z20:Z24),ISBLANK(AX20:AX24)), "·", bdRateExtend( V20:V24,Z20:Z24, AT20:AT24,AX20:AX24))</f>
        <v>7.5812120491600687E-3</v>
      </c>
      <c r="BN20" s="43">
        <f>IF( OR(ISBLANK(V20:V24),ISBLANK(AT20:AT24), ISBLANK(AA20:AA24),ISBLANK(AY20:AY24)), "·", bdRateExtend( V20:V24,AA20:AA24, AT20:AT24,AY20:AY24))</f>
        <v>3.7317704724764145E-2</v>
      </c>
      <c r="BP20" s="43">
        <f>IF( OR(ISBLANK(S20:S24),ISBLANK(AQ20:AQ24), ISBLANK(W20:W24),ISBLANK(AU20:AU24)), "·", bdRateExtend( S20:S24,W20:W24, AQ20:AQ24,AU20:AU24))</f>
        <v>3.8172133546880982E-3</v>
      </c>
      <c r="BQ20" s="43">
        <f>IF( OR(ISBLANK(S20:S24),ISBLANK(AQ20:AQ24), ISBLANK(X20:X24),ISBLANK(AV20:AV24)), "·", bdRateExtend( S20:S24,X20:X24, AQ20:AQ24,AV20:AV24))</f>
        <v>5.9041539496522688E-3</v>
      </c>
      <c r="BR20" s="43">
        <f>IF( OR(ISBLANK(S20:S24),ISBLANK(AQ20:AQ24), ISBLANK(Y20:Y24),ISBLANK(AW20:AW24)), "·", bdRateExtend( S20:S24,Y20:Y24, AQ20:AQ24,AW20:AW24))</f>
        <v>6.1542723724126169E-2</v>
      </c>
      <c r="BS20" s="43">
        <f>IF( OR(ISBLANK(S20:S24),ISBLANK(AQ20:AQ24), ISBLANK(Z20:Z24),ISBLANK(AX20:AX24)), "·", bdRateExtend( S20:S24,Z20:Z24, AQ20:AQ24,AX20:AX24))</f>
        <v>8.8100781426196928E-3</v>
      </c>
      <c r="BT20" s="43">
        <f>IF( OR(ISBLANK(S20:S24),ISBLANK(AQ20:AQ24), ISBLANK(AA20:AA24),ISBLANK(AY20:AY24)), "·", bdRateExtend( S20:S24,AA20:AA24, AQ20:AQ24,AY20:AY24))</f>
        <v>2.8772261281956313E-2</v>
      </c>
      <c r="BV20" s="51">
        <f t="shared" si="20"/>
        <v>0.75412747242554712</v>
      </c>
      <c r="BW20" s="51">
        <f t="shared" si="15"/>
        <v>0.78761123500745556</v>
      </c>
      <c r="BX20" s="51">
        <f t="shared" si="15"/>
        <v>0.41581775932513237</v>
      </c>
      <c r="BY20" s="51">
        <f t="shared" si="16"/>
        <v>0.77086935371650134</v>
      </c>
      <c r="BZ20" s="55"/>
      <c r="CA20" s="51"/>
      <c r="CC20" s="57"/>
    </row>
    <row r="21" spans="1:84" outlineLevel="1" x14ac:dyDescent="0.15">
      <c r="A21" s="46"/>
      <c r="B21" s="46" t="s">
        <v>26</v>
      </c>
      <c r="C21" s="3" t="s">
        <v>145</v>
      </c>
      <c r="D21" s="46">
        <v>250602891</v>
      </c>
      <c r="E21" s="3">
        <v>10</v>
      </c>
      <c r="F21" s="3">
        <v>32</v>
      </c>
      <c r="G21" s="3">
        <v>50</v>
      </c>
      <c r="I21" s="4">
        <f t="shared" si="0"/>
        <v>7.5828249999999997</v>
      </c>
      <c r="J21" s="5">
        <f t="shared" si="1"/>
        <v>1.9365331264275001E-2</v>
      </c>
      <c r="K21" s="5">
        <f t="shared" si="2"/>
        <v>9.0187626766045567E-3</v>
      </c>
      <c r="L21" s="5">
        <f t="shared" si="3"/>
        <v>5.2271384211605128E-3</v>
      </c>
      <c r="M21" s="5">
        <f t="shared" si="4"/>
        <v>1.0346568587670442E-2</v>
      </c>
      <c r="N21" s="46">
        <f t="shared" si="5"/>
        <v>2260128</v>
      </c>
      <c r="O21" s="5">
        <v>-12</v>
      </c>
      <c r="P21" s="6">
        <v>31470210</v>
      </c>
      <c r="Q21" s="6">
        <v>983444.0625</v>
      </c>
      <c r="R21" s="6">
        <v>32994.5</v>
      </c>
      <c r="S21" s="7">
        <v>4853008</v>
      </c>
      <c r="T21" s="7">
        <v>1309936</v>
      </c>
      <c r="U21" s="7">
        <v>950192</v>
      </c>
      <c r="V21" s="7">
        <v>2592880</v>
      </c>
      <c r="W21" s="8">
        <v>68.687637499999994</v>
      </c>
      <c r="X21" s="8">
        <v>70.768968749999999</v>
      </c>
      <c r="Y21" s="8">
        <v>32.499071874999998</v>
      </c>
      <c r="Z21" s="8">
        <v>40.637934375</v>
      </c>
      <c r="AA21" s="8">
        <v>39.554534375000003</v>
      </c>
      <c r="AB21" s="9">
        <v>557.04</v>
      </c>
      <c r="AC21" s="9">
        <v>476.26299999999998</v>
      </c>
      <c r="AD21" s="9">
        <v>1871.19</v>
      </c>
      <c r="AE21" s="9">
        <v>11.061999999999999</v>
      </c>
      <c r="AG21" s="4">
        <f t="shared" si="6"/>
        <v>7.4158499999999998</v>
      </c>
      <c r="AH21" s="5">
        <f t="shared" si="7"/>
        <v>1.8938903621826136E-2</v>
      </c>
      <c r="AI21" s="5">
        <f t="shared" si="8"/>
        <v>9.0450353184473031E-3</v>
      </c>
      <c r="AJ21" s="5">
        <f t="shared" si="9"/>
        <v>5.2534110630032592E-3</v>
      </c>
      <c r="AK21" s="5">
        <f t="shared" si="10"/>
        <v>9.8938683033788308E-3</v>
      </c>
      <c r="AL21" s="46">
        <f t="shared" si="11"/>
        <v>2266712</v>
      </c>
      <c r="AM21" s="5">
        <v>-12</v>
      </c>
      <c r="AN21" s="6"/>
      <c r="AO21" s="6"/>
      <c r="AP21" s="6"/>
      <c r="AQ21" s="7">
        <v>4746144</v>
      </c>
      <c r="AR21" s="7">
        <v>1316520</v>
      </c>
      <c r="AS21" s="7">
        <v>950192</v>
      </c>
      <c r="AT21" s="7">
        <v>2479432</v>
      </c>
      <c r="AU21" s="8">
        <v>68.631287499999999</v>
      </c>
      <c r="AV21" s="8">
        <v>70.681749999999994</v>
      </c>
      <c r="AW21" s="8">
        <v>32.012631249999998</v>
      </c>
      <c r="AX21" s="8">
        <v>40.562731249999999</v>
      </c>
      <c r="AY21" s="8">
        <v>39.3577625</v>
      </c>
      <c r="AZ21" s="9">
        <v>140.01499999999999</v>
      </c>
      <c r="BA21" s="9">
        <v>106.58799999999999</v>
      </c>
      <c r="BB21" s="9">
        <v>1086.73</v>
      </c>
      <c r="BC21" s="9">
        <v>10.952999999999999</v>
      </c>
      <c r="BE21" s="44">
        <f t="shared" si="12"/>
        <v>1.0029131093460193</v>
      </c>
      <c r="BF21" s="10" t="e">
        <f t="shared" si="13"/>
        <v>#DIV/0!</v>
      </c>
      <c r="BG21" s="10">
        <f t="shared" si="14"/>
        <v>1.1873296362946817E-2</v>
      </c>
      <c r="BH21" s="10"/>
      <c r="BJ21" s="44"/>
      <c r="BK21" s="44"/>
      <c r="BL21" s="44"/>
      <c r="BM21" s="44"/>
      <c r="BN21" s="44"/>
      <c r="BP21" s="44"/>
      <c r="BQ21" s="44"/>
      <c r="BR21" s="44"/>
      <c r="BS21" s="44"/>
      <c r="BT21" s="44"/>
      <c r="BV21" s="51">
        <f t="shared" si="20"/>
        <v>0.74864462157116185</v>
      </c>
      <c r="BW21" s="51">
        <f>(AC21-BA21)/AC21</f>
        <v>0.77619928484891743</v>
      </c>
      <c r="BX21" s="51">
        <f t="shared" si="20"/>
        <v>0.41923054313030744</v>
      </c>
      <c r="BY21" s="51">
        <f t="shared" si="16"/>
        <v>0.76242195321003958</v>
      </c>
      <c r="BZ21" s="55"/>
      <c r="CA21" s="51"/>
      <c r="CC21" s="57"/>
    </row>
    <row r="22" spans="1:84" outlineLevel="1" x14ac:dyDescent="0.15">
      <c r="A22" s="11"/>
      <c r="B22" s="11" t="s">
        <v>26</v>
      </c>
      <c r="C22" s="12" t="s">
        <v>146</v>
      </c>
      <c r="D22" s="11">
        <v>250602891</v>
      </c>
      <c r="E22" s="12">
        <v>10</v>
      </c>
      <c r="F22" s="12">
        <v>32</v>
      </c>
      <c r="G22" s="12">
        <v>50</v>
      </c>
      <c r="I22" s="13">
        <f t="shared" si="0"/>
        <v>12.3580875</v>
      </c>
      <c r="J22" s="14">
        <f t="shared" si="1"/>
        <v>3.1560593608634786E-2</v>
      </c>
      <c r="K22" s="14">
        <f t="shared" si="2"/>
        <v>1.1265089515667239E-2</v>
      </c>
      <c r="L22" s="14">
        <f t="shared" si="3"/>
        <v>7.4734652602231949E-3</v>
      </c>
      <c r="M22" s="14">
        <f t="shared" si="4"/>
        <v>2.0295504092967546E-2</v>
      </c>
      <c r="N22" s="11">
        <f t="shared" si="5"/>
        <v>2823064</v>
      </c>
      <c r="O22" s="14">
        <v>-12</v>
      </c>
      <c r="P22" s="15">
        <v>32774469</v>
      </c>
      <c r="Q22" s="15">
        <v>1024202.15625</v>
      </c>
      <c r="R22" s="15">
        <v>35190.1875</v>
      </c>
      <c r="S22" s="16">
        <v>7909176</v>
      </c>
      <c r="T22" s="16">
        <v>1872872</v>
      </c>
      <c r="U22" s="16">
        <v>950192</v>
      </c>
      <c r="V22" s="16">
        <v>5086112</v>
      </c>
      <c r="W22" s="17">
        <v>69.849543749999995</v>
      </c>
      <c r="X22" s="17">
        <v>72.244293749999898</v>
      </c>
      <c r="Y22" s="17">
        <v>34.215484375000003</v>
      </c>
      <c r="Z22" s="17">
        <v>41.679962499999903</v>
      </c>
      <c r="AA22" s="17">
        <v>40.578524999999999</v>
      </c>
      <c r="AB22" s="18">
        <v>586.04899999999998</v>
      </c>
      <c r="AC22" s="18">
        <v>501.37400000000002</v>
      </c>
      <c r="AD22" s="18">
        <v>1928.45</v>
      </c>
      <c r="AE22" s="18">
        <v>10.718</v>
      </c>
      <c r="AG22" s="13">
        <f t="shared" si="6"/>
        <v>12.335125</v>
      </c>
      <c r="AH22" s="14">
        <f t="shared" si="7"/>
        <v>3.1501951028968779E-2</v>
      </c>
      <c r="AI22" s="14">
        <f t="shared" si="8"/>
        <v>1.1312463270824757E-2</v>
      </c>
      <c r="AJ22" s="14">
        <f t="shared" si="9"/>
        <v>7.5208390153807128E-3</v>
      </c>
      <c r="AK22" s="14">
        <f t="shared" si="10"/>
        <v>2.0189487758144019E-2</v>
      </c>
      <c r="AL22" s="11">
        <f t="shared" si="11"/>
        <v>2834936</v>
      </c>
      <c r="AM22" s="14">
        <v>-12</v>
      </c>
      <c r="AN22" s="15"/>
      <c r="AO22" s="15"/>
      <c r="AP22" s="15"/>
      <c r="AQ22" s="16">
        <v>7894480</v>
      </c>
      <c r="AR22" s="16">
        <v>1884744</v>
      </c>
      <c r="AS22" s="16">
        <v>950192</v>
      </c>
      <c r="AT22" s="16">
        <v>5059544</v>
      </c>
      <c r="AU22" s="17">
        <v>69.838774999999899</v>
      </c>
      <c r="AV22" s="17">
        <v>72.229671874999994</v>
      </c>
      <c r="AW22" s="17">
        <v>34.026687500000001</v>
      </c>
      <c r="AX22" s="17">
        <v>41.651790624999997</v>
      </c>
      <c r="AY22" s="17">
        <v>40.525065624999897</v>
      </c>
      <c r="AZ22" s="18">
        <v>165.77500000000001</v>
      </c>
      <c r="BA22" s="18">
        <v>159.97499999999999</v>
      </c>
      <c r="BB22" s="18">
        <v>1167.92</v>
      </c>
      <c r="BC22" s="18">
        <v>10.795999999999999</v>
      </c>
      <c r="BE22" s="43">
        <f t="shared" si="12"/>
        <v>1.0042053598501486</v>
      </c>
      <c r="BF22" s="19" t="e">
        <f t="shared" si="13"/>
        <v>#DIV/0!</v>
      </c>
      <c r="BG22" s="19">
        <f t="shared" si="14"/>
        <v>2.1682898642525483E-3</v>
      </c>
      <c r="BH22" s="19"/>
      <c r="BJ22" s="43"/>
      <c r="BK22" s="43"/>
      <c r="BL22" s="43"/>
      <c r="BM22" s="43"/>
      <c r="BN22" s="43"/>
      <c r="BP22" s="43"/>
      <c r="BQ22" s="43"/>
      <c r="BR22" s="43"/>
      <c r="BS22" s="43"/>
      <c r="BT22" s="43"/>
      <c r="BV22" s="51">
        <f t="shared" si="20"/>
        <v>0.71713116138752908</v>
      </c>
      <c r="BW22" s="51">
        <f t="shared" si="20"/>
        <v>0.68092681311755299</v>
      </c>
      <c r="BX22" s="51">
        <f t="shared" si="20"/>
        <v>0.39437371982680386</v>
      </c>
      <c r="BY22" s="51">
        <f t="shared" si="16"/>
        <v>0.69902898725254103</v>
      </c>
      <c r="BZ22" s="55"/>
      <c r="CA22" s="51"/>
      <c r="CC22" s="57"/>
    </row>
    <row r="23" spans="1:84" outlineLevel="1" x14ac:dyDescent="0.15">
      <c r="A23" s="46"/>
      <c r="B23" s="46" t="s">
        <v>26</v>
      </c>
      <c r="C23" s="3" t="s">
        <v>147</v>
      </c>
      <c r="D23" s="46">
        <v>250602891</v>
      </c>
      <c r="E23" s="3">
        <v>10</v>
      </c>
      <c r="F23" s="3">
        <v>32</v>
      </c>
      <c r="G23" s="3">
        <v>50</v>
      </c>
      <c r="I23" s="4">
        <f t="shared" si="0"/>
        <v>22.005125</v>
      </c>
      <c r="J23" s="5">
        <f t="shared" si="1"/>
        <v>5.619759590083899E-2</v>
      </c>
      <c r="K23" s="5">
        <f t="shared" si="2"/>
        <v>1.5193503892977835E-2</v>
      </c>
      <c r="L23" s="5">
        <f t="shared" si="3"/>
        <v>1.140187963753379E-2</v>
      </c>
      <c r="M23" s="5">
        <f t="shared" si="4"/>
        <v>4.1004092007861155E-2</v>
      </c>
      <c r="N23" s="46">
        <f t="shared" si="5"/>
        <v>3807536</v>
      </c>
      <c r="O23" s="5">
        <v>-12</v>
      </c>
      <c r="P23" s="6">
        <v>32769151</v>
      </c>
      <c r="Q23" s="6">
        <v>1024035.96875</v>
      </c>
      <c r="R23" s="6">
        <v>36890.875</v>
      </c>
      <c r="S23" s="7">
        <v>14083280</v>
      </c>
      <c r="T23" s="7">
        <v>2857344</v>
      </c>
      <c r="U23" s="7">
        <v>950192</v>
      </c>
      <c r="V23" s="7">
        <v>10275744</v>
      </c>
      <c r="W23" s="8">
        <v>70.891781249999894</v>
      </c>
      <c r="X23" s="8">
        <v>73.621353124999999</v>
      </c>
      <c r="Y23" s="8">
        <v>35.690490625000002</v>
      </c>
      <c r="Z23" s="8">
        <v>42.822521875</v>
      </c>
      <c r="AA23" s="8">
        <v>41.617903124999998</v>
      </c>
      <c r="AB23" s="9">
        <v>633.92999999999995</v>
      </c>
      <c r="AC23" s="9">
        <v>544.75</v>
      </c>
      <c r="AD23" s="9">
        <v>2017</v>
      </c>
      <c r="AE23" s="9">
        <v>10.656000000000001</v>
      </c>
      <c r="AG23" s="4">
        <f t="shared" si="6"/>
        <v>22.074024999999999</v>
      </c>
      <c r="AH23" s="5">
        <f t="shared" si="7"/>
        <v>5.6373555562852624E-2</v>
      </c>
      <c r="AI23" s="5">
        <f t="shared" si="8"/>
        <v>1.5298658306380032E-2</v>
      </c>
      <c r="AJ23" s="5">
        <f t="shared" si="9"/>
        <v>1.1507034050935989E-2</v>
      </c>
      <c r="AK23" s="5">
        <f t="shared" si="10"/>
        <v>4.1074897256472592E-2</v>
      </c>
      <c r="AL23" s="46">
        <f t="shared" si="11"/>
        <v>3833888</v>
      </c>
      <c r="AM23" s="5">
        <v>-12</v>
      </c>
      <c r="AN23" s="6"/>
      <c r="AO23" s="6"/>
      <c r="AP23" s="6"/>
      <c r="AQ23" s="7">
        <v>14127376</v>
      </c>
      <c r="AR23" s="7">
        <v>2883696</v>
      </c>
      <c r="AS23" s="7">
        <v>950192</v>
      </c>
      <c r="AT23" s="7">
        <v>10293488</v>
      </c>
      <c r="AU23" s="8">
        <v>70.878781250000003</v>
      </c>
      <c r="AV23" s="8">
        <v>73.606437499999899</v>
      </c>
      <c r="AW23" s="8">
        <v>35.646818750000001</v>
      </c>
      <c r="AX23" s="8">
        <v>42.81909375</v>
      </c>
      <c r="AY23" s="8">
        <v>41.629028124999998</v>
      </c>
      <c r="AZ23" s="9">
        <v>208.65199999999999</v>
      </c>
      <c r="BA23" s="9">
        <v>236.977</v>
      </c>
      <c r="BB23" s="9">
        <v>1287.8900000000001</v>
      </c>
      <c r="BC23" s="9">
        <v>10.656000000000001</v>
      </c>
      <c r="BE23" s="44">
        <f t="shared" si="12"/>
        <v>1.0069210113837399</v>
      </c>
      <c r="BF23" s="10" t="e">
        <f t="shared" si="13"/>
        <v>#DIV/0!</v>
      </c>
      <c r="BG23" s="10">
        <f t="shared" si="14"/>
        <v>1.0214399863939794E-3</v>
      </c>
      <c r="BH23" s="10"/>
      <c r="BJ23" s="44"/>
      <c r="BK23" s="44"/>
      <c r="BL23" s="44"/>
      <c r="BM23" s="44"/>
      <c r="BN23" s="44"/>
      <c r="BP23" s="44"/>
      <c r="BQ23" s="44"/>
      <c r="BR23" s="44"/>
      <c r="BS23" s="44"/>
      <c r="BT23" s="44"/>
      <c r="BV23" s="51">
        <f t="shared" si="20"/>
        <v>0.67085955862634672</v>
      </c>
      <c r="BW23" s="51">
        <f t="shared" si="20"/>
        <v>0.56498026617714547</v>
      </c>
      <c r="BX23" s="51">
        <f t="shared" si="20"/>
        <v>0.36148239960337131</v>
      </c>
      <c r="BY23" s="51">
        <f t="shared" si="16"/>
        <v>0.61791991240174604</v>
      </c>
      <c r="BZ23" s="55"/>
      <c r="CA23" s="51"/>
      <c r="CC23" s="57"/>
    </row>
    <row r="24" spans="1:84" ht="14.25" outlineLevel="1" thickBot="1" x14ac:dyDescent="0.2">
      <c r="A24" s="30"/>
      <c r="B24" s="30" t="s">
        <v>26</v>
      </c>
      <c r="C24" s="31" t="s">
        <v>148</v>
      </c>
      <c r="D24" s="30">
        <v>250602891</v>
      </c>
      <c r="E24" s="31">
        <v>10</v>
      </c>
      <c r="F24" s="31">
        <v>32</v>
      </c>
      <c r="G24" s="31">
        <v>50</v>
      </c>
      <c r="I24" s="32">
        <f t="shared" si="0"/>
        <v>38.627387499999998</v>
      </c>
      <c r="J24" s="33">
        <f t="shared" si="1"/>
        <v>9.8648215514800269E-2</v>
      </c>
      <c r="K24" s="33">
        <f t="shared" si="2"/>
        <v>2.5280761824890519E-2</v>
      </c>
      <c r="L24" s="33">
        <f t="shared" si="3"/>
        <v>1.7958835119743291E-2</v>
      </c>
      <c r="M24" s="33">
        <f t="shared" si="4"/>
        <v>7.336745368990974E-2</v>
      </c>
      <c r="N24" s="30">
        <f t="shared" si="5"/>
        <v>6335432</v>
      </c>
      <c r="O24" s="33">
        <v>-12</v>
      </c>
      <c r="P24" s="34">
        <v>31405837</v>
      </c>
      <c r="Q24" s="34">
        <v>981432.40625</v>
      </c>
      <c r="R24" s="34">
        <v>18371.09375</v>
      </c>
      <c r="S24" s="35">
        <v>24721528</v>
      </c>
      <c r="T24" s="35">
        <v>4500536</v>
      </c>
      <c r="U24" s="35">
        <v>1834896</v>
      </c>
      <c r="V24" s="35">
        <v>18386096</v>
      </c>
      <c r="W24" s="36">
        <v>71.729621874999907</v>
      </c>
      <c r="X24" s="36">
        <v>75.643156249999905</v>
      </c>
      <c r="Y24" s="36">
        <v>36.543587500000001</v>
      </c>
      <c r="Z24" s="36">
        <v>43.589959374999999</v>
      </c>
      <c r="AA24" s="36">
        <v>42.051628125000001</v>
      </c>
      <c r="AB24" s="37">
        <v>679.25900000000001</v>
      </c>
      <c r="AC24" s="37">
        <v>624.96</v>
      </c>
      <c r="AD24" s="37">
        <v>2170.64</v>
      </c>
      <c r="AE24" s="37">
        <v>11.045999999999999</v>
      </c>
      <c r="AG24" s="32">
        <f t="shared" si="6"/>
        <v>38.764125</v>
      </c>
      <c r="AH24" s="33">
        <f t="shared" si="7"/>
        <v>9.899742138250113E-2</v>
      </c>
      <c r="AI24" s="33">
        <f t="shared" si="8"/>
        <v>2.5286922966902246E-2</v>
      </c>
      <c r="AJ24" s="33">
        <f t="shared" si="9"/>
        <v>1.7964996261755017E-2</v>
      </c>
      <c r="AK24" s="33">
        <f t="shared" si="10"/>
        <v>7.3710498415598888E-2</v>
      </c>
      <c r="AL24" s="30">
        <f t="shared" si="11"/>
        <v>6336976</v>
      </c>
      <c r="AM24" s="33">
        <v>-12</v>
      </c>
      <c r="AN24" s="34"/>
      <c r="AO24" s="34"/>
      <c r="AP24" s="34"/>
      <c r="AQ24" s="35">
        <v>24809040</v>
      </c>
      <c r="AR24" s="35">
        <v>4502080</v>
      </c>
      <c r="AS24" s="35">
        <v>1834896</v>
      </c>
      <c r="AT24" s="35">
        <v>18472064</v>
      </c>
      <c r="AU24" s="36">
        <v>71.725840625000004</v>
      </c>
      <c r="AV24" s="36">
        <v>75.625709375</v>
      </c>
      <c r="AW24" s="36">
        <v>36.538878124999897</v>
      </c>
      <c r="AX24" s="36">
        <v>43.602653124999897</v>
      </c>
      <c r="AY24" s="36">
        <v>42.055799999999998</v>
      </c>
      <c r="AZ24" s="37">
        <v>309.185</v>
      </c>
      <c r="BA24" s="37">
        <v>333.411</v>
      </c>
      <c r="BB24" s="37">
        <v>1503.14</v>
      </c>
      <c r="BC24" s="37">
        <v>10.75</v>
      </c>
      <c r="BE24" s="38">
        <f t="shared" si="12"/>
        <v>1.0002437087163116</v>
      </c>
      <c r="BF24" s="39" t="e">
        <f t="shared" si="13"/>
        <v>#DIV/0!</v>
      </c>
      <c r="BG24" s="39">
        <f t="shared" si="14"/>
        <v>-8.4174410395182475E-4</v>
      </c>
      <c r="BH24" s="39"/>
      <c r="BJ24" s="38"/>
      <c r="BK24" s="38"/>
      <c r="BL24" s="38"/>
      <c r="BM24" s="38"/>
      <c r="BN24" s="38"/>
      <c r="BP24" s="38"/>
      <c r="BQ24" s="38"/>
      <c r="BR24" s="38"/>
      <c r="BS24" s="38"/>
      <c r="BT24" s="38"/>
      <c r="BV24" s="52">
        <f>(AB24-AZ24)/AB24</f>
        <v>0.54482016432612601</v>
      </c>
      <c r="BW24" s="52">
        <f t="shared" si="20"/>
        <v>0.46650825652841788</v>
      </c>
      <c r="BX24" s="52">
        <f t="shared" si="20"/>
        <v>0.30751299156009276</v>
      </c>
      <c r="BY24" s="52">
        <f t="shared" si="16"/>
        <v>0.50566421042727194</v>
      </c>
      <c r="BZ24" s="55">
        <f>AVERAGE(BV20:BV24)</f>
        <v>0.68711659566734207</v>
      </c>
      <c r="CA24" s="51">
        <f>AVERAGE(BW20:BW24)</f>
        <v>0.65524517113589786</v>
      </c>
      <c r="CB24" s="51">
        <f>AVERAGE(BX20:BX24)</f>
        <v>0.37968348268914154</v>
      </c>
      <c r="CC24" s="58">
        <f>AVERAGE(BY20:BY24)</f>
        <v>0.67118088340161985</v>
      </c>
      <c r="CD24" s="51">
        <f t="shared" ref="CD24:CE24" si="24">(SUM(AB20:AB24)-SUM(AZ20:AZ24))/SUM(AB20:AB24)</f>
        <v>0.68025002471596818</v>
      </c>
      <c r="CE24" s="51">
        <f t="shared" si="24"/>
        <v>0.64153571610744609</v>
      </c>
      <c r="CF24" s="51">
        <f>(SUM(AB20:AC24)-SUM(AZ20:BA24))/SUM(AB20:AC24)</f>
        <v>0.66216356891310912</v>
      </c>
    </row>
    <row r="25" spans="1:84" x14ac:dyDescent="0.15">
      <c r="A25" s="46" t="s">
        <v>149</v>
      </c>
      <c r="B25" s="46" t="s">
        <v>27</v>
      </c>
      <c r="C25" s="3" t="s">
        <v>144</v>
      </c>
      <c r="D25" s="46">
        <v>250294582</v>
      </c>
      <c r="E25" s="3">
        <v>10</v>
      </c>
      <c r="F25" s="3">
        <v>32</v>
      </c>
      <c r="G25" s="3">
        <v>30</v>
      </c>
      <c r="I25" s="4">
        <f t="shared" si="0"/>
        <v>4.3608675000000003</v>
      </c>
      <c r="J25" s="5">
        <f t="shared" si="1"/>
        <v>1.8584469399341611E-2</v>
      </c>
      <c r="K25" s="5">
        <f t="shared" si="2"/>
        <v>6.4496481989370427E-3</v>
      </c>
      <c r="L25" s="5">
        <f t="shared" si="3"/>
        <v>3.6966041877806209E-3</v>
      </c>
      <c r="M25" s="5">
        <f t="shared" si="4"/>
        <v>1.213482120040457E-2</v>
      </c>
      <c r="N25" s="46">
        <f t="shared" si="5"/>
        <v>1614312</v>
      </c>
      <c r="O25" s="5">
        <v>-12</v>
      </c>
      <c r="P25" s="6">
        <v>23148086</v>
      </c>
      <c r="Q25" s="6">
        <v>723377.6875</v>
      </c>
      <c r="R25" s="6">
        <v>13979.90625</v>
      </c>
      <c r="S25" s="7">
        <v>4651592</v>
      </c>
      <c r="T25" s="7">
        <v>925240</v>
      </c>
      <c r="U25" s="7">
        <v>689072</v>
      </c>
      <c r="V25" s="7">
        <v>3037280</v>
      </c>
      <c r="W25" s="8">
        <v>66.202731249999999</v>
      </c>
      <c r="X25" s="8">
        <v>67.991668750000002</v>
      </c>
      <c r="Y25" s="8">
        <v>27.334187499999999</v>
      </c>
      <c r="Z25" s="8">
        <v>33.179340624999902</v>
      </c>
      <c r="AA25" s="8">
        <v>32.601890624999903</v>
      </c>
      <c r="AB25" s="9">
        <v>465.16699999999997</v>
      </c>
      <c r="AC25" s="9">
        <v>439.43200000000002</v>
      </c>
      <c r="AD25" s="9">
        <v>1346.13</v>
      </c>
      <c r="AE25" s="9">
        <v>10.234</v>
      </c>
      <c r="AG25" s="4">
        <f t="shared" si="6"/>
        <v>4.3599750000000004</v>
      </c>
      <c r="AH25" s="5">
        <f t="shared" si="7"/>
        <v>1.8580665881133617E-2</v>
      </c>
      <c r="AI25" s="5">
        <f t="shared" si="8"/>
        <v>6.4759212406763165E-3</v>
      </c>
      <c r="AJ25" s="5">
        <f t="shared" si="9"/>
        <v>3.7228772295198943E-3</v>
      </c>
      <c r="AK25" s="5">
        <f t="shared" si="10"/>
        <v>1.2104744640457299E-2</v>
      </c>
      <c r="AL25" s="46">
        <f t="shared" si="11"/>
        <v>1620888</v>
      </c>
      <c r="AM25" s="5">
        <v>-12</v>
      </c>
      <c r="AN25" s="6"/>
      <c r="AO25" s="6"/>
      <c r="AP25" s="6"/>
      <c r="AQ25" s="7">
        <v>4650640</v>
      </c>
      <c r="AR25" s="7">
        <v>931816</v>
      </c>
      <c r="AS25" s="7">
        <v>689072</v>
      </c>
      <c r="AT25" s="7">
        <v>3029752</v>
      </c>
      <c r="AU25" s="8">
        <v>66.195356250000003</v>
      </c>
      <c r="AV25" s="8">
        <v>67.909387499999994</v>
      </c>
      <c r="AW25" s="8">
        <v>27.272181249999999</v>
      </c>
      <c r="AX25" s="8">
        <v>33.128621875</v>
      </c>
      <c r="AY25" s="8">
        <v>32.502412499999998</v>
      </c>
      <c r="AZ25" s="9">
        <v>113.702</v>
      </c>
      <c r="BA25" s="9">
        <v>99.099000000000004</v>
      </c>
      <c r="BB25" s="9">
        <v>652.42100000000005</v>
      </c>
      <c r="BC25" s="9">
        <v>10.311999999999999</v>
      </c>
      <c r="BE25" s="44">
        <f t="shared" si="12"/>
        <v>1.0040735619880172</v>
      </c>
      <c r="BF25" s="10" t="e">
        <f t="shared" si="13"/>
        <v>#DIV/0!</v>
      </c>
      <c r="BG25" s="10">
        <f t="shared" si="14"/>
        <v>1.4850401002996505E-3</v>
      </c>
      <c r="BH25" s="10">
        <f t="array" ref="BH25">AVERAGE(AL25:AL29/AQ25:AQ29) - AVERAGE(N25:N29/S25:S29)</f>
        <v>1.0679682323508355E-3</v>
      </c>
      <c r="BJ25" s="44">
        <f>IF( OR(ISBLANK(N25:N29),ISBLANK(AL25:AL29), ISBLANK(W25:W29),ISBLANK(AU25:AU29)), "·", bdRateExtend( N25:N29,W25:W29, AL25:AL29,AU25:AU29))</f>
        <v>8.620350799813048E-3</v>
      </c>
      <c r="BK25" s="44">
        <f>IF( OR(ISBLANK(N25:N29),ISBLANK(AL25:AL29), ISBLANK(X25:X29),ISBLANK(AV25:AV29)), "·", bdRateExtend( N25:N29,X25:X29, AL25:AL29,AV25:AV29))</f>
        <v>1.2905427814851045E-2</v>
      </c>
      <c r="BL25" s="44">
        <f>IF( OR(ISBLANK(V25:V29),ISBLANK(AT25:AT29), ISBLANK(Y25:Y29),ISBLANK(AW25:AW29)), "·", bdRateExtend( V25:V29,Y25:Y29, AT25:AT29,AW25:AW29))</f>
        <v>1.4480727664464732E-2</v>
      </c>
      <c r="BM25" s="44">
        <f>IF( OR(ISBLANK(V25:V29),ISBLANK(AT25:AT29), ISBLANK(Z25:Z29),ISBLANK(AX25:AX29)), "·", bdRateExtend( V25:V29,Z25:Z29, AT25:AT29,AX25:AX29))</f>
        <v>9.4094994946987143E-3</v>
      </c>
      <c r="BN25" s="44">
        <f>IF( OR(ISBLANK(V25:V29),ISBLANK(AT25:AT29), ISBLANK(AA25:AA29),ISBLANK(AY25:AY29)), "·", bdRateExtend( V25:V29,AA25:AA29, AT25:AT29,AY25:AY29))</f>
        <v>1.6418077919417851E-2</v>
      </c>
      <c r="BP25" s="44">
        <f>IF( OR(ISBLANK(S25:S29),ISBLANK(AQ25:AQ29), ISBLANK(W25:W29),ISBLANK(AU25:AU29)), "·", bdRateExtend( S25:S29,W25:W29, AQ25:AQ29,AU25:AU29))</f>
        <v>8.4350487426987364E-3</v>
      </c>
      <c r="BQ25" s="44">
        <f>IF( OR(ISBLANK(S25:S29),ISBLANK(AQ25:AQ29), ISBLANK(X25:X29),ISBLANK(AV25:AV29)), "·", bdRateExtend( S25:S29,X25:X29, AQ25:AQ29,AV25:AV29))</f>
        <v>1.7550305024949475E-2</v>
      </c>
      <c r="BR25" s="44">
        <f>IF( OR(ISBLANK(S25:S29),ISBLANK(AQ25:AQ29), ISBLANK(Y25:Y29),ISBLANK(AW25:AW29)), "·", bdRateExtend( S25:S29,Y25:Y29, AQ25:AQ29,AW25:AW29))</f>
        <v>1.3373898465823153E-2</v>
      </c>
      <c r="BS25" s="44">
        <f>IF( OR(ISBLANK(S25:S29),ISBLANK(AQ25:AQ29), ISBLANK(Z25:Z29),ISBLANK(AX25:AX29)), "·", bdRateExtend( S25:S29,Z25:Z29, AQ25:AQ29,AX25:AX29))</f>
        <v>8.681824535555549E-3</v>
      </c>
      <c r="BT25" s="44">
        <f>IF( OR(ISBLANK(S25:S29),ISBLANK(AQ25:AQ29), ISBLANK(AA25:AA29),ISBLANK(AY25:AY29)), "·", bdRateExtend( S25:S29,AA25:AA29, AQ25:AQ29,AY25:AY29))</f>
        <v>1.4461810556978927E-2</v>
      </c>
      <c r="BV25" s="51">
        <f t="shared" ref="BV25:BX39" si="25">(AB25-AZ25)/AB25</f>
        <v>0.75556735537989583</v>
      </c>
      <c r="BW25" s="51">
        <f t="shared" si="20"/>
        <v>0.77448387918949924</v>
      </c>
      <c r="BX25" s="51">
        <f t="shared" si="20"/>
        <v>0.51533581452014288</v>
      </c>
      <c r="BY25" s="51">
        <f t="shared" si="16"/>
        <v>0.76502561728469753</v>
      </c>
      <c r="BZ25" s="55"/>
      <c r="CA25" s="51"/>
      <c r="CC25" s="57"/>
    </row>
    <row r="26" spans="1:84" outlineLevel="1" x14ac:dyDescent="0.15">
      <c r="A26" s="11"/>
      <c r="B26" s="11" t="s">
        <v>27</v>
      </c>
      <c r="C26" s="12" t="s">
        <v>145</v>
      </c>
      <c r="D26" s="11">
        <v>250294582</v>
      </c>
      <c r="E26" s="12">
        <v>10</v>
      </c>
      <c r="F26" s="12">
        <v>32</v>
      </c>
      <c r="G26" s="12">
        <v>30</v>
      </c>
      <c r="I26" s="13">
        <f t="shared" si="0"/>
        <v>7.4916749999999999</v>
      </c>
      <c r="J26" s="14">
        <f t="shared" si="1"/>
        <v>3.192685968727841E-2</v>
      </c>
      <c r="K26" s="14">
        <f t="shared" si="2"/>
        <v>7.9828495848144245E-3</v>
      </c>
      <c r="L26" s="14">
        <f t="shared" si="3"/>
        <v>5.2298055736580027E-3</v>
      </c>
      <c r="M26" s="14">
        <f t="shared" si="4"/>
        <v>2.3944010102463983E-2</v>
      </c>
      <c r="N26" s="11">
        <f t="shared" si="5"/>
        <v>1998064</v>
      </c>
      <c r="O26" s="14">
        <v>-12</v>
      </c>
      <c r="P26" s="15">
        <v>24596617</v>
      </c>
      <c r="Q26" s="15">
        <v>768644.28125</v>
      </c>
      <c r="R26" s="15">
        <v>17690.84375</v>
      </c>
      <c r="S26" s="16">
        <v>7991120</v>
      </c>
      <c r="T26" s="16">
        <v>1308992</v>
      </c>
      <c r="U26" s="16">
        <v>689072</v>
      </c>
      <c r="V26" s="16">
        <v>5993056</v>
      </c>
      <c r="W26" s="17">
        <v>67.955109375000006</v>
      </c>
      <c r="X26" s="17">
        <v>69.951062499999907</v>
      </c>
      <c r="Y26" s="17">
        <v>29.714649999999999</v>
      </c>
      <c r="Z26" s="17">
        <v>34.343318750000002</v>
      </c>
      <c r="AA26" s="17">
        <v>33.888874999999999</v>
      </c>
      <c r="AB26" s="18">
        <v>497.53</v>
      </c>
      <c r="AC26" s="18">
        <v>454.13099999999997</v>
      </c>
      <c r="AD26" s="18">
        <v>1392.09</v>
      </c>
      <c r="AE26" s="18">
        <v>10.343</v>
      </c>
      <c r="AG26" s="13">
        <f t="shared" si="6"/>
        <v>7.4862074999999999</v>
      </c>
      <c r="AH26" s="14">
        <f t="shared" si="7"/>
        <v>3.1903559142962189E-2</v>
      </c>
      <c r="AI26" s="14">
        <f t="shared" si="8"/>
        <v>8.0008443810421753E-3</v>
      </c>
      <c r="AJ26" s="14">
        <f t="shared" si="9"/>
        <v>5.2478003698857535E-3</v>
      </c>
      <c r="AK26" s="14">
        <f t="shared" si="10"/>
        <v>2.3902714761920015E-2</v>
      </c>
      <c r="AL26" s="11">
        <f t="shared" si="11"/>
        <v>2002568</v>
      </c>
      <c r="AM26" s="14">
        <v>-12</v>
      </c>
      <c r="AN26" s="15"/>
      <c r="AO26" s="15"/>
      <c r="AP26" s="15"/>
      <c r="AQ26" s="16">
        <v>7985288</v>
      </c>
      <c r="AR26" s="16">
        <v>1313496</v>
      </c>
      <c r="AS26" s="16">
        <v>689072</v>
      </c>
      <c r="AT26" s="16">
        <v>5982720</v>
      </c>
      <c r="AU26" s="17">
        <v>67.899728124999996</v>
      </c>
      <c r="AV26" s="17">
        <v>69.816584375000005</v>
      </c>
      <c r="AW26" s="17">
        <v>29.594740624999901</v>
      </c>
      <c r="AX26" s="17">
        <v>34.2683999999999</v>
      </c>
      <c r="AY26" s="17">
        <v>33.780668749999997</v>
      </c>
      <c r="AZ26" s="18">
        <v>128.36600000000001</v>
      </c>
      <c r="BA26" s="18">
        <v>105.82299999999999</v>
      </c>
      <c r="BB26" s="18">
        <v>673.81200000000001</v>
      </c>
      <c r="BC26" s="18">
        <v>10.420999999999999</v>
      </c>
      <c r="BE26" s="43">
        <f t="shared" si="12"/>
        <v>1.0022541820482227</v>
      </c>
      <c r="BF26" s="19" t="e">
        <f t="shared" si="13"/>
        <v>#DIV/0!</v>
      </c>
      <c r="BG26" s="19">
        <f t="shared" si="14"/>
        <v>7.4664899576137866E-4</v>
      </c>
      <c r="BH26" s="19"/>
      <c r="BJ26" s="43"/>
      <c r="BK26" s="43"/>
      <c r="BL26" s="43"/>
      <c r="BM26" s="43"/>
      <c r="BN26" s="43"/>
      <c r="BP26" s="43"/>
      <c r="BQ26" s="43"/>
      <c r="BR26" s="43"/>
      <c r="BS26" s="43"/>
      <c r="BT26" s="43"/>
      <c r="BV26" s="51">
        <f t="shared" si="25"/>
        <v>0.7419934476312986</v>
      </c>
      <c r="BW26" s="51">
        <f t="shared" si="20"/>
        <v>0.7669769295643768</v>
      </c>
      <c r="BX26" s="51">
        <f t="shared" si="20"/>
        <v>0.51597095015408478</v>
      </c>
      <c r="BY26" s="51">
        <f t="shared" si="16"/>
        <v>0.75448518859783764</v>
      </c>
      <c r="BZ26" s="55"/>
      <c r="CA26" s="51"/>
      <c r="CC26" s="57"/>
    </row>
    <row r="27" spans="1:84" outlineLevel="1" x14ac:dyDescent="0.15">
      <c r="A27" s="46"/>
      <c r="B27" s="46" t="s">
        <v>27</v>
      </c>
      <c r="C27" s="3" t="s">
        <v>146</v>
      </c>
      <c r="D27" s="46">
        <v>250294582</v>
      </c>
      <c r="E27" s="3">
        <v>10</v>
      </c>
      <c r="F27" s="3">
        <v>32</v>
      </c>
      <c r="G27" s="3">
        <v>30</v>
      </c>
      <c r="I27" s="4">
        <f t="shared" si="0"/>
        <v>13.183875</v>
      </c>
      <c r="J27" s="5">
        <f t="shared" si="1"/>
        <v>5.6184995646449909E-2</v>
      </c>
      <c r="K27" s="5">
        <f t="shared" si="2"/>
        <v>1.028832497860461E-2</v>
      </c>
      <c r="L27" s="5">
        <f t="shared" si="3"/>
        <v>7.5352809674481885E-3</v>
      </c>
      <c r="M27" s="5">
        <f t="shared" si="4"/>
        <v>4.58966706678453E-2</v>
      </c>
      <c r="N27" s="46">
        <f t="shared" si="5"/>
        <v>2575112</v>
      </c>
      <c r="O27" s="5">
        <v>-12</v>
      </c>
      <c r="P27" s="6">
        <v>24867879</v>
      </c>
      <c r="Q27" s="6">
        <v>777121.21875</v>
      </c>
      <c r="R27" s="6">
        <v>18587.625</v>
      </c>
      <c r="S27" s="7">
        <v>14062800</v>
      </c>
      <c r="T27" s="7">
        <v>1886040</v>
      </c>
      <c r="U27" s="7">
        <v>689072</v>
      </c>
      <c r="V27" s="7">
        <v>11487688</v>
      </c>
      <c r="W27" s="8">
        <v>69.271965624999893</v>
      </c>
      <c r="X27" s="8">
        <v>71.647043749999995</v>
      </c>
      <c r="Y27" s="8">
        <v>32.215471874999999</v>
      </c>
      <c r="Z27" s="8">
        <v>35.579521874999998</v>
      </c>
      <c r="AA27" s="8">
        <v>35.207475000000002</v>
      </c>
      <c r="AB27" s="9">
        <v>528.10500000000002</v>
      </c>
      <c r="AC27" s="9">
        <v>490.21199999999999</v>
      </c>
      <c r="AD27" s="9">
        <v>1456.08</v>
      </c>
      <c r="AE27" s="9">
        <v>10.327999999999999</v>
      </c>
      <c r="AG27" s="4">
        <f t="shared" si="6"/>
        <v>13.1020425</v>
      </c>
      <c r="AH27" s="5">
        <f t="shared" si="7"/>
        <v>5.5836254577815832E-2</v>
      </c>
      <c r="AI27" s="5">
        <f t="shared" si="8"/>
        <v>1.0325497177561758E-2</v>
      </c>
      <c r="AJ27" s="5">
        <f t="shared" si="9"/>
        <v>7.5724531664053355E-3</v>
      </c>
      <c r="AK27" s="5">
        <f t="shared" si="10"/>
        <v>4.5510757400254072E-2</v>
      </c>
      <c r="AL27" s="46">
        <f t="shared" si="11"/>
        <v>2584416</v>
      </c>
      <c r="AM27" s="5">
        <v>-12</v>
      </c>
      <c r="AN27" s="6"/>
      <c r="AO27" s="6"/>
      <c r="AP27" s="6"/>
      <c r="AQ27" s="7">
        <v>13975512</v>
      </c>
      <c r="AR27" s="7">
        <v>1895344</v>
      </c>
      <c r="AS27" s="7">
        <v>689072</v>
      </c>
      <c r="AT27" s="7">
        <v>11391096</v>
      </c>
      <c r="AU27" s="8">
        <v>69.270396875000003</v>
      </c>
      <c r="AV27" s="8">
        <v>71.625081249999894</v>
      </c>
      <c r="AW27" s="8">
        <v>32.139168750000003</v>
      </c>
      <c r="AX27" s="8">
        <v>35.578268749999999</v>
      </c>
      <c r="AY27" s="8">
        <v>35.198218750000002</v>
      </c>
      <c r="AZ27" s="9">
        <v>156.245</v>
      </c>
      <c r="BA27" s="9">
        <v>188.46199999999999</v>
      </c>
      <c r="BB27" s="9">
        <v>789.68700000000001</v>
      </c>
      <c r="BC27" s="9">
        <v>10.420999999999999</v>
      </c>
      <c r="BE27" s="44">
        <f t="shared" si="12"/>
        <v>1.0036130467335014</v>
      </c>
      <c r="BF27" s="10" t="e">
        <f t="shared" si="13"/>
        <v>#DIV/0!</v>
      </c>
      <c r="BG27" s="10">
        <f t="shared" si="14"/>
        <v>1.8094333059339718E-3</v>
      </c>
      <c r="BH27" s="10"/>
      <c r="BJ27" s="44"/>
      <c r="BK27" s="44"/>
      <c r="BL27" s="44"/>
      <c r="BM27" s="44"/>
      <c r="BN27" s="44"/>
      <c r="BP27" s="44"/>
      <c r="BQ27" s="44"/>
      <c r="BR27" s="44"/>
      <c r="BS27" s="44"/>
      <c r="BT27" s="44"/>
      <c r="BV27" s="51">
        <f t="shared" si="25"/>
        <v>0.70414027513467969</v>
      </c>
      <c r="BW27" s="51">
        <f t="shared" si="20"/>
        <v>0.61555000693577477</v>
      </c>
      <c r="BX27" s="51">
        <f t="shared" si="20"/>
        <v>0.45766235371682873</v>
      </c>
      <c r="BY27" s="51">
        <f t="shared" si="16"/>
        <v>0.65984514103522729</v>
      </c>
      <c r="BZ27" s="55"/>
      <c r="CA27" s="51"/>
      <c r="CC27" s="57"/>
    </row>
    <row r="28" spans="1:84" outlineLevel="1" x14ac:dyDescent="0.15">
      <c r="A28" s="11"/>
      <c r="B28" s="11" t="s">
        <v>27</v>
      </c>
      <c r="C28" s="12" t="s">
        <v>147</v>
      </c>
      <c r="D28" s="11">
        <v>250294582</v>
      </c>
      <c r="E28" s="12">
        <v>10</v>
      </c>
      <c r="F28" s="12">
        <v>32</v>
      </c>
      <c r="G28" s="12">
        <v>30</v>
      </c>
      <c r="I28" s="13">
        <f t="shared" si="0"/>
        <v>24.458400000000001</v>
      </c>
      <c r="J28" s="14">
        <f t="shared" si="1"/>
        <v>0.10423301931481681</v>
      </c>
      <c r="K28" s="14">
        <f t="shared" si="2"/>
        <v>1.4138636049261346E-2</v>
      </c>
      <c r="L28" s="14">
        <f t="shared" si="3"/>
        <v>1.1385592038104924E-2</v>
      </c>
      <c r="M28" s="14">
        <f t="shared" si="4"/>
        <v>9.0094383265555467E-2</v>
      </c>
      <c r="N28" s="11">
        <f t="shared" si="5"/>
        <v>3538824</v>
      </c>
      <c r="O28" s="14">
        <v>-12</v>
      </c>
      <c r="P28" s="15">
        <v>25503045</v>
      </c>
      <c r="Q28" s="15">
        <v>796970.15625</v>
      </c>
      <c r="R28" s="15">
        <v>20905.71875</v>
      </c>
      <c r="S28" s="16">
        <v>26088960</v>
      </c>
      <c r="T28" s="16">
        <v>2849752</v>
      </c>
      <c r="U28" s="16">
        <v>689072</v>
      </c>
      <c r="V28" s="16">
        <v>22550136</v>
      </c>
      <c r="W28" s="17">
        <v>70.438771874999901</v>
      </c>
      <c r="X28" s="17">
        <v>72.973003124999906</v>
      </c>
      <c r="Y28" s="17">
        <v>34.905471874999897</v>
      </c>
      <c r="Z28" s="17">
        <v>37.372971874999998</v>
      </c>
      <c r="AA28" s="17">
        <v>36.936059374999999</v>
      </c>
      <c r="AB28" s="18">
        <v>556.94299999999998</v>
      </c>
      <c r="AC28" s="18">
        <v>582.54499999999996</v>
      </c>
      <c r="AD28" s="18">
        <v>1578.13</v>
      </c>
      <c r="AE28" s="18">
        <v>10.359</v>
      </c>
      <c r="AG28" s="13">
        <f t="shared" si="6"/>
        <v>24.475905000000001</v>
      </c>
      <c r="AH28" s="14">
        <f t="shared" si="7"/>
        <v>0.10430761941143417</v>
      </c>
      <c r="AI28" s="14">
        <f t="shared" si="8"/>
        <v>1.4254819147463607E-2</v>
      </c>
      <c r="AJ28" s="14">
        <f t="shared" si="9"/>
        <v>1.1501775136307185E-2</v>
      </c>
      <c r="AK28" s="14">
        <f t="shared" si="10"/>
        <v>9.0052800263970556E-2</v>
      </c>
      <c r="AL28" s="11">
        <f t="shared" si="11"/>
        <v>3567904</v>
      </c>
      <c r="AM28" s="14">
        <v>-12</v>
      </c>
      <c r="AN28" s="15"/>
      <c r="AO28" s="15"/>
      <c r="AP28" s="15"/>
      <c r="AQ28" s="16">
        <v>26107632</v>
      </c>
      <c r="AR28" s="16">
        <v>2878832</v>
      </c>
      <c r="AS28" s="16">
        <v>689072</v>
      </c>
      <c r="AT28" s="16">
        <v>22539728</v>
      </c>
      <c r="AU28" s="17">
        <v>70.424731249999994</v>
      </c>
      <c r="AV28" s="17">
        <v>72.959121874999994</v>
      </c>
      <c r="AW28" s="17">
        <v>34.884490624999998</v>
      </c>
      <c r="AX28" s="17">
        <v>37.368628124999901</v>
      </c>
      <c r="AY28" s="17">
        <v>36.931687500000002</v>
      </c>
      <c r="AZ28" s="18">
        <v>188.45699999999999</v>
      </c>
      <c r="BA28" s="18">
        <v>322.16899999999998</v>
      </c>
      <c r="BB28" s="18">
        <v>952.01499999999999</v>
      </c>
      <c r="BC28" s="18">
        <v>10.327999999999999</v>
      </c>
      <c r="BE28" s="43">
        <f t="shared" si="12"/>
        <v>1.0082174191200239</v>
      </c>
      <c r="BF28" s="19" t="e">
        <f t="shared" si="13"/>
        <v>#DIV/0!</v>
      </c>
      <c r="BG28" s="19">
        <f t="shared" si="14"/>
        <v>1.0168385186859752E-3</v>
      </c>
      <c r="BH28" s="19"/>
      <c r="BJ28" s="43"/>
      <c r="BK28" s="43"/>
      <c r="BL28" s="43"/>
      <c r="BM28" s="43"/>
      <c r="BN28" s="43"/>
      <c r="BP28" s="43"/>
      <c r="BQ28" s="43"/>
      <c r="BR28" s="43"/>
      <c r="BS28" s="43"/>
      <c r="BT28" s="43"/>
      <c r="BV28" s="51">
        <f t="shared" si="25"/>
        <v>0.66162246405826086</v>
      </c>
      <c r="BW28" s="51">
        <f t="shared" si="20"/>
        <v>0.44696289557029928</v>
      </c>
      <c r="BX28" s="51">
        <f t="shared" si="20"/>
        <v>0.39674488160037519</v>
      </c>
      <c r="BY28" s="51">
        <f t="shared" si="16"/>
        <v>0.5542926798142801</v>
      </c>
      <c r="BZ28" s="55"/>
      <c r="CA28" s="51"/>
      <c r="CC28" s="57"/>
    </row>
    <row r="29" spans="1:84" ht="14.25" outlineLevel="1" thickBot="1" x14ac:dyDescent="0.2">
      <c r="A29" s="20"/>
      <c r="B29" s="20" t="s">
        <v>27</v>
      </c>
      <c r="C29" s="21" t="s">
        <v>148</v>
      </c>
      <c r="D29" s="20">
        <v>250294582</v>
      </c>
      <c r="E29" s="21">
        <v>10</v>
      </c>
      <c r="F29" s="21">
        <v>32</v>
      </c>
      <c r="G29" s="21">
        <v>30</v>
      </c>
      <c r="I29" s="22">
        <f t="shared" si="0"/>
        <v>44.156122500000002</v>
      </c>
      <c r="J29" s="23">
        <f t="shared" si="1"/>
        <v>0.18817772092246088</v>
      </c>
      <c r="K29" s="23">
        <f t="shared" si="2"/>
        <v>2.2856395669004135E-2</v>
      </c>
      <c r="L29" s="23">
        <f t="shared" si="3"/>
        <v>1.7621859669339546E-2</v>
      </c>
      <c r="M29" s="23">
        <f t="shared" si="4"/>
        <v>0.16532132525345675</v>
      </c>
      <c r="N29" s="20">
        <f t="shared" si="5"/>
        <v>5720832</v>
      </c>
      <c r="O29" s="23">
        <v>-12</v>
      </c>
      <c r="P29" s="24">
        <v>24554524</v>
      </c>
      <c r="Q29" s="24">
        <v>767328.875</v>
      </c>
      <c r="R29" s="24">
        <v>9745.3125</v>
      </c>
      <c r="S29" s="25">
        <v>47099864</v>
      </c>
      <c r="T29" s="25">
        <v>4410656</v>
      </c>
      <c r="U29" s="25">
        <v>1310176</v>
      </c>
      <c r="V29" s="25">
        <v>41379032</v>
      </c>
      <c r="W29" s="26">
        <v>71.141515624999997</v>
      </c>
      <c r="X29" s="26">
        <v>74.899956249999903</v>
      </c>
      <c r="Y29" s="26">
        <v>37.334449999999997</v>
      </c>
      <c r="Z29" s="26">
        <v>39.404759374999998</v>
      </c>
      <c r="AA29" s="26">
        <v>38.75755625</v>
      </c>
      <c r="AB29" s="27">
        <v>596.798</v>
      </c>
      <c r="AC29" s="27">
        <v>691.16800000000001</v>
      </c>
      <c r="AD29" s="27">
        <v>1743.5</v>
      </c>
      <c r="AE29" s="27">
        <v>10.561999999999999</v>
      </c>
      <c r="AG29" s="22">
        <f t="shared" si="6"/>
        <v>44.1562725</v>
      </c>
      <c r="AH29" s="23">
        <f t="shared" si="7"/>
        <v>0.18817836016921852</v>
      </c>
      <c r="AI29" s="23">
        <f t="shared" si="8"/>
        <v>2.2909517074564564E-2</v>
      </c>
      <c r="AJ29" s="23">
        <f t="shared" si="9"/>
        <v>1.7674981074899974E-2</v>
      </c>
      <c r="AK29" s="23">
        <f t="shared" si="10"/>
        <v>0.16526884309465395</v>
      </c>
      <c r="AL29" s="20">
        <f t="shared" si="11"/>
        <v>5734128</v>
      </c>
      <c r="AM29" s="23">
        <v>-12</v>
      </c>
      <c r="AN29" s="24"/>
      <c r="AO29" s="24"/>
      <c r="AP29" s="24"/>
      <c r="AQ29" s="25">
        <v>47100024</v>
      </c>
      <c r="AR29" s="25">
        <v>4423952</v>
      </c>
      <c r="AS29" s="25">
        <v>1310176</v>
      </c>
      <c r="AT29" s="25">
        <v>41365896</v>
      </c>
      <c r="AU29" s="26">
        <v>71.143449999999902</v>
      </c>
      <c r="AV29" s="26">
        <v>74.882175000000004</v>
      </c>
      <c r="AW29" s="26">
        <v>37.320278124999902</v>
      </c>
      <c r="AX29" s="26">
        <v>39.398053124999898</v>
      </c>
      <c r="AY29" s="26">
        <v>38.746712500000001</v>
      </c>
      <c r="AZ29" s="27">
        <v>279.91300000000001</v>
      </c>
      <c r="BA29" s="27">
        <v>465.16</v>
      </c>
      <c r="BB29" s="27">
        <v>1201.56</v>
      </c>
      <c r="BC29" s="27">
        <v>10.327999999999999</v>
      </c>
      <c r="BE29" s="28">
        <f t="shared" si="12"/>
        <v>1.0023241374681164</v>
      </c>
      <c r="BF29" s="29" t="e">
        <f t="shared" si="13"/>
        <v>#DIV/0!</v>
      </c>
      <c r="BG29" s="29">
        <f t="shared" si="14"/>
        <v>2.8188024107336784E-4</v>
      </c>
      <c r="BH29" s="29"/>
      <c r="BJ29" s="28"/>
      <c r="BK29" s="28"/>
      <c r="BL29" s="28"/>
      <c r="BM29" s="28"/>
      <c r="BN29" s="28"/>
      <c r="BP29" s="28"/>
      <c r="BQ29" s="28"/>
      <c r="BR29" s="28"/>
      <c r="BS29" s="28"/>
      <c r="BT29" s="28"/>
      <c r="BV29" s="51">
        <f t="shared" si="25"/>
        <v>0.53097530487702704</v>
      </c>
      <c r="BW29" s="51">
        <f t="shared" si="20"/>
        <v>0.32699430529191165</v>
      </c>
      <c r="BX29" s="51">
        <f t="shared" si="20"/>
        <v>0.31083452824777746</v>
      </c>
      <c r="BY29" s="51">
        <f t="shared" si="16"/>
        <v>0.42898480508446935</v>
      </c>
      <c r="BZ29" s="55">
        <f t="shared" ref="BZ29:CA29" si="26">AVERAGE(BV25:BV29)</f>
        <v>0.67885976941623238</v>
      </c>
      <c r="CA29" s="51">
        <f t="shared" si="26"/>
        <v>0.5861936033103724</v>
      </c>
      <c r="CB29" s="51">
        <f>AVERAGE(BX25:BX29)</f>
        <v>0.43930970564784183</v>
      </c>
      <c r="CC29" s="58">
        <f>AVERAGE(BY25:BY29)</f>
        <v>0.63252668636330234</v>
      </c>
      <c r="CD29" s="51">
        <f t="shared" ref="CD29:CE29" si="27">(SUM(AB25:AB29)-SUM(AZ25:AZ29))/SUM(AB25:AB29)</f>
        <v>0.67227494504721608</v>
      </c>
      <c r="CE29" s="51">
        <f t="shared" si="27"/>
        <v>0.55570335595118403</v>
      </c>
      <c r="CF29" s="51">
        <f t="shared" ref="CF29" si="28">(SUM(AB25:AC29)-SUM(AZ25:BA29))/SUM(AB25:AC29)</f>
        <v>0.613846844727992</v>
      </c>
    </row>
    <row r="30" spans="1:84" x14ac:dyDescent="0.15">
      <c r="A30" s="11" t="s">
        <v>150</v>
      </c>
      <c r="B30" s="11" t="s">
        <v>28</v>
      </c>
      <c r="C30" s="12" t="s">
        <v>144</v>
      </c>
      <c r="D30" s="11">
        <v>375422539</v>
      </c>
      <c r="E30" s="12">
        <v>11</v>
      </c>
      <c r="F30" s="12">
        <v>32</v>
      </c>
      <c r="G30" s="12">
        <v>30</v>
      </c>
      <c r="I30" s="13" t="str">
        <f t="shared" si="0"/>
        <v>·</v>
      </c>
      <c r="J30" s="14" t="str">
        <f t="shared" si="1"/>
        <v>·</v>
      </c>
      <c r="K30" s="14" t="str">
        <f t="shared" si="2"/>
        <v>·</v>
      </c>
      <c r="L30" s="14" t="str">
        <f t="shared" si="3"/>
        <v>·</v>
      </c>
      <c r="M30" s="14" t="str">
        <f t="shared" si="4"/>
        <v>·</v>
      </c>
      <c r="N30" s="11" t="str">
        <f t="shared" si="5"/>
        <v/>
      </c>
      <c r="O30" s="14">
        <v>-12</v>
      </c>
      <c r="P30" s="15">
        <v>84256321</v>
      </c>
      <c r="Q30" s="15">
        <v>2633010.03125</v>
      </c>
      <c r="R30" s="15">
        <v>31474.3125</v>
      </c>
      <c r="S30" s="16"/>
      <c r="T30" s="16"/>
      <c r="U30" s="16"/>
      <c r="V30" s="16"/>
      <c r="W30" s="17"/>
      <c r="X30" s="17"/>
      <c r="Y30" s="17"/>
      <c r="Z30" s="17"/>
      <c r="AA30" s="17"/>
      <c r="AB30" s="18"/>
      <c r="AC30" s="18"/>
      <c r="AD30" s="18"/>
      <c r="AE30" s="18"/>
      <c r="AG30" s="13" t="str">
        <f t="shared" si="6"/>
        <v>·</v>
      </c>
      <c r="AH30" s="14" t="str">
        <f t="shared" si="7"/>
        <v>·</v>
      </c>
      <c r="AI30" s="14" t="str">
        <f t="shared" si="8"/>
        <v>·</v>
      </c>
      <c r="AJ30" s="14" t="str">
        <f t="shared" si="9"/>
        <v>·</v>
      </c>
      <c r="AK30" s="14" t="str">
        <f t="shared" si="10"/>
        <v>·</v>
      </c>
      <c r="AL30" s="11" t="str">
        <f t="shared" si="11"/>
        <v/>
      </c>
      <c r="AM30" s="14">
        <v>-12</v>
      </c>
      <c r="AN30" s="15"/>
      <c r="AO30" s="15"/>
      <c r="AP30" s="15"/>
      <c r="AQ30" s="16"/>
      <c r="AR30" s="16"/>
      <c r="AS30" s="16"/>
      <c r="AT30" s="16"/>
      <c r="AU30" s="17"/>
      <c r="AV30" s="17"/>
      <c r="AW30" s="17"/>
      <c r="AX30" s="17"/>
      <c r="AY30" s="17"/>
      <c r="AZ30" s="18"/>
      <c r="BA30" s="18"/>
      <c r="BB30" s="18"/>
      <c r="BC30" s="18"/>
      <c r="BE30" s="43" t="e">
        <f t="shared" si="12"/>
        <v>#VALUE!</v>
      </c>
      <c r="BF30" s="19" t="e">
        <f t="shared" si="13"/>
        <v>#DIV/0!</v>
      </c>
      <c r="BG30" s="19" t="e">
        <f t="shared" si="14"/>
        <v>#VALUE!</v>
      </c>
      <c r="BH30" s="19" t="e">
        <f t="array" ref="BH30">AVERAGE(AL30:AL34/AQ30:AQ34) - AVERAGE(N30:N34/S30:S34)</f>
        <v>#VALUE!</v>
      </c>
      <c r="BJ30" s="43" t="str">
        <f>IF( OR(ISBLANK(N30:N34),ISBLANK(AL30:AL34), ISBLANK(W30:W34),ISBLANK(AU30:AU34)), "·", bdRateExtend( N30:N34,W30:W34, AL30:AL34,AU30:AU34))</f>
        <v>·</v>
      </c>
      <c r="BK30" s="43" t="str">
        <f>IF( OR(ISBLANK(N30:N34),ISBLANK(AL30:AL34), ISBLANK(X30:X34),ISBLANK(AV30:AV34)), "·", bdRateExtend( N30:N34,X30:X34, AL30:AL34,AV30:AV34))</f>
        <v>·</v>
      </c>
      <c r="BL30" s="43" t="str">
        <f>IF( OR(ISBLANK(V30:V34),ISBLANK(AT30:AT34), ISBLANK(Y30:Y34),ISBLANK(AW30:AW34)), "·", bdRateExtend( V30:V34,Y30:Y34, AT30:AT34,AW30:AW34))</f>
        <v>·</v>
      </c>
      <c r="BM30" s="43" t="str">
        <f>IF( OR(ISBLANK(V30:V34),ISBLANK(AT30:AT34), ISBLANK(Z30:Z34),ISBLANK(AX30:AX34)), "·", bdRateExtend( V30:V34,Z30:Z34, AT30:AT34,AX30:AX34))</f>
        <v>·</v>
      </c>
      <c r="BN30" s="43" t="str">
        <f>IF( OR(ISBLANK(V30:V34),ISBLANK(AT30:AT34), ISBLANK(AA30:AA34),ISBLANK(AY30:AY34)), "·", bdRateExtend( V30:V34,AA30:AA34, AT30:AT34,AY30:AY34))</f>
        <v>·</v>
      </c>
      <c r="BP30" s="43" t="str">
        <f>IF( OR(ISBLANK(S30:S34),ISBLANK(AQ30:AQ34), ISBLANK(W30:W34),ISBLANK(AU30:AU34)), "·", bdRateExtend( S30:S34,W30:W34, AQ30:AQ34,AU30:AU34))</f>
        <v>·</v>
      </c>
      <c r="BQ30" s="43" t="str">
        <f>IF( OR(ISBLANK(S30:S34),ISBLANK(AQ30:AQ34), ISBLANK(X30:X34),ISBLANK(AV30:AV34)), "·", bdRateExtend( S30:S34,X30:X34, AQ30:AQ34,AV30:AV34))</f>
        <v>·</v>
      </c>
      <c r="BR30" s="43" t="str">
        <f>IF( OR(ISBLANK(S30:S34),ISBLANK(AQ30:AQ34), ISBLANK(Y30:Y34),ISBLANK(AW30:AW34)), "·", bdRateExtend( S30:S34,Y30:Y34, AQ30:AQ34,AW30:AW34))</f>
        <v>·</v>
      </c>
      <c r="BS30" s="43" t="str">
        <f>IF( OR(ISBLANK(S30:S34),ISBLANK(AQ30:AQ34), ISBLANK(Z30:Z34),ISBLANK(AX30:AX34)), "·", bdRateExtend( S30:S34,Z30:Z34, AQ30:AQ34,AX30:AX34))</f>
        <v>·</v>
      </c>
      <c r="BT30" s="43" t="str">
        <f>IF( OR(ISBLANK(S30:S34),ISBLANK(AQ30:AQ34), ISBLANK(AA30:AA34),ISBLANK(AY30:AY34)), "·", bdRateExtend( S30:S34,AA30:AA34, AQ30:AQ34,AY30:AY34))</f>
        <v>·</v>
      </c>
      <c r="BV30" s="51" t="e">
        <f t="shared" si="25"/>
        <v>#DIV/0!</v>
      </c>
      <c r="BW30" s="51" t="e">
        <f t="shared" si="25"/>
        <v>#DIV/0!</v>
      </c>
      <c r="BX30" s="51" t="e">
        <f t="shared" si="25"/>
        <v>#DIV/0!</v>
      </c>
      <c r="BY30" s="51" t="e">
        <f t="shared" si="16"/>
        <v>#DIV/0!</v>
      </c>
      <c r="BZ30" s="55"/>
      <c r="CA30" s="51"/>
      <c r="CC30" s="57"/>
    </row>
    <row r="31" spans="1:84" outlineLevel="1" x14ac:dyDescent="0.15">
      <c r="A31" s="46"/>
      <c r="B31" s="46" t="s">
        <v>28</v>
      </c>
      <c r="C31" s="3" t="s">
        <v>145</v>
      </c>
      <c r="D31" s="46">
        <v>375422539</v>
      </c>
      <c r="E31" s="3">
        <v>11</v>
      </c>
      <c r="F31" s="3">
        <v>32</v>
      </c>
      <c r="G31" s="3">
        <v>30</v>
      </c>
      <c r="I31" s="4" t="str">
        <f t="shared" si="0"/>
        <v>·</v>
      </c>
      <c r="J31" s="5" t="str">
        <f t="shared" si="1"/>
        <v>·</v>
      </c>
      <c r="K31" s="5" t="str">
        <f t="shared" si="2"/>
        <v>·</v>
      </c>
      <c r="L31" s="5" t="str">
        <f t="shared" si="3"/>
        <v>·</v>
      </c>
      <c r="M31" s="5" t="str">
        <f t="shared" si="4"/>
        <v>·</v>
      </c>
      <c r="N31" s="46" t="str">
        <f t="shared" si="5"/>
        <v/>
      </c>
      <c r="O31" s="5">
        <v>-12</v>
      </c>
      <c r="P31" s="6">
        <v>89796795</v>
      </c>
      <c r="Q31" s="6">
        <v>2806149.84375</v>
      </c>
      <c r="R31" s="6">
        <v>39729</v>
      </c>
      <c r="S31" s="7"/>
      <c r="T31" s="7"/>
      <c r="U31" s="7"/>
      <c r="V31" s="7"/>
      <c r="W31" s="8"/>
      <c r="X31" s="8"/>
      <c r="Y31" s="8"/>
      <c r="Z31" s="8"/>
      <c r="AA31" s="8"/>
      <c r="AB31" s="9"/>
      <c r="AC31" s="9"/>
      <c r="AD31" s="9"/>
      <c r="AE31" s="9"/>
      <c r="AG31" s="4" t="str">
        <f t="shared" si="6"/>
        <v>·</v>
      </c>
      <c r="AH31" s="5" t="str">
        <f t="shared" si="7"/>
        <v>·</v>
      </c>
      <c r="AI31" s="5" t="str">
        <f t="shared" si="8"/>
        <v>·</v>
      </c>
      <c r="AJ31" s="5" t="str">
        <f t="shared" si="9"/>
        <v>·</v>
      </c>
      <c r="AK31" s="5" t="str">
        <f t="shared" si="10"/>
        <v>·</v>
      </c>
      <c r="AL31" s="46" t="str">
        <f t="shared" si="11"/>
        <v/>
      </c>
      <c r="AM31" s="5">
        <v>-12</v>
      </c>
      <c r="AN31" s="6"/>
      <c r="AO31" s="6"/>
      <c r="AP31" s="6"/>
      <c r="AQ31" s="7"/>
      <c r="AR31" s="7"/>
      <c r="AS31" s="7"/>
      <c r="AT31" s="7"/>
      <c r="AU31" s="8"/>
      <c r="AV31" s="8"/>
      <c r="AW31" s="8"/>
      <c r="AX31" s="8"/>
      <c r="AY31" s="8"/>
      <c r="AZ31" s="9"/>
      <c r="BA31" s="9"/>
      <c r="BB31" s="9"/>
      <c r="BC31" s="9"/>
      <c r="BE31" s="44" t="e">
        <f t="shared" si="12"/>
        <v>#VALUE!</v>
      </c>
      <c r="BF31" s="10" t="e">
        <f t="shared" si="13"/>
        <v>#DIV/0!</v>
      </c>
      <c r="BG31" s="10" t="e">
        <f t="shared" si="14"/>
        <v>#VALUE!</v>
      </c>
      <c r="BH31" s="10"/>
      <c r="BJ31" s="44"/>
      <c r="BK31" s="44"/>
      <c r="BL31" s="44"/>
      <c r="BM31" s="44"/>
      <c r="BN31" s="44"/>
      <c r="BP31" s="44"/>
      <c r="BQ31" s="44"/>
      <c r="BR31" s="44"/>
      <c r="BS31" s="44"/>
      <c r="BT31" s="44"/>
      <c r="BV31" s="51" t="e">
        <f t="shared" si="25"/>
        <v>#DIV/0!</v>
      </c>
      <c r="BW31" s="51" t="e">
        <f t="shared" si="25"/>
        <v>#DIV/0!</v>
      </c>
      <c r="BX31" s="51" t="e">
        <f t="shared" si="25"/>
        <v>#DIV/0!</v>
      </c>
      <c r="BY31" s="51" t="e">
        <f t="shared" si="16"/>
        <v>#DIV/0!</v>
      </c>
      <c r="BZ31" s="55"/>
      <c r="CA31" s="51"/>
      <c r="CC31" s="57"/>
    </row>
    <row r="32" spans="1:84" outlineLevel="1" x14ac:dyDescent="0.15">
      <c r="A32" s="11"/>
      <c r="B32" s="11" t="s">
        <v>28</v>
      </c>
      <c r="C32" s="12" t="s">
        <v>146</v>
      </c>
      <c r="D32" s="11">
        <v>375422539</v>
      </c>
      <c r="E32" s="12">
        <v>11</v>
      </c>
      <c r="F32" s="12">
        <v>32</v>
      </c>
      <c r="G32" s="12">
        <v>30</v>
      </c>
      <c r="I32" s="13" t="str">
        <f t="shared" si="0"/>
        <v>·</v>
      </c>
      <c r="J32" s="14" t="str">
        <f t="shared" si="1"/>
        <v>·</v>
      </c>
      <c r="K32" s="14" t="str">
        <f t="shared" si="2"/>
        <v>·</v>
      </c>
      <c r="L32" s="14" t="str">
        <f t="shared" si="3"/>
        <v>·</v>
      </c>
      <c r="M32" s="14" t="str">
        <f t="shared" si="4"/>
        <v>·</v>
      </c>
      <c r="N32" s="11" t="str">
        <f t="shared" si="5"/>
        <v/>
      </c>
      <c r="O32" s="14">
        <v>-12</v>
      </c>
      <c r="P32" s="15">
        <v>91551049</v>
      </c>
      <c r="Q32" s="15">
        <v>2860970.28125</v>
      </c>
      <c r="R32" s="15">
        <v>42562.1875</v>
      </c>
      <c r="S32" s="16"/>
      <c r="T32" s="16"/>
      <c r="U32" s="16"/>
      <c r="V32" s="16"/>
      <c r="W32" s="17"/>
      <c r="X32" s="17"/>
      <c r="Y32" s="17"/>
      <c r="Z32" s="17"/>
      <c r="AA32" s="17"/>
      <c r="AB32" s="18"/>
      <c r="AC32" s="18"/>
      <c r="AD32" s="18"/>
      <c r="AE32" s="18"/>
      <c r="AG32" s="13" t="str">
        <f t="shared" si="6"/>
        <v>·</v>
      </c>
      <c r="AH32" s="14" t="str">
        <f t="shared" si="7"/>
        <v>·</v>
      </c>
      <c r="AI32" s="14" t="str">
        <f t="shared" si="8"/>
        <v>·</v>
      </c>
      <c r="AJ32" s="14" t="str">
        <f t="shared" si="9"/>
        <v>·</v>
      </c>
      <c r="AK32" s="14" t="str">
        <f t="shared" si="10"/>
        <v>·</v>
      </c>
      <c r="AL32" s="11" t="str">
        <f t="shared" si="11"/>
        <v/>
      </c>
      <c r="AM32" s="14">
        <v>-12</v>
      </c>
      <c r="AN32" s="15"/>
      <c r="AO32" s="15"/>
      <c r="AP32" s="15"/>
      <c r="AQ32" s="16"/>
      <c r="AR32" s="16"/>
      <c r="AS32" s="16"/>
      <c r="AT32" s="16"/>
      <c r="AU32" s="17"/>
      <c r="AV32" s="17"/>
      <c r="AW32" s="17"/>
      <c r="AX32" s="17"/>
      <c r="AY32" s="17"/>
      <c r="AZ32" s="18"/>
      <c r="BA32" s="18"/>
      <c r="BB32" s="18"/>
      <c r="BC32" s="18"/>
      <c r="BE32" s="43" t="e">
        <f t="shared" si="12"/>
        <v>#VALUE!</v>
      </c>
      <c r="BF32" s="19" t="e">
        <f t="shared" si="13"/>
        <v>#DIV/0!</v>
      </c>
      <c r="BG32" s="19" t="e">
        <f t="shared" si="14"/>
        <v>#VALUE!</v>
      </c>
      <c r="BH32" s="19"/>
      <c r="BJ32" s="43"/>
      <c r="BK32" s="43"/>
      <c r="BL32" s="43"/>
      <c r="BM32" s="43"/>
      <c r="BN32" s="43"/>
      <c r="BP32" s="43"/>
      <c r="BQ32" s="43"/>
      <c r="BR32" s="43"/>
      <c r="BS32" s="43"/>
      <c r="BT32" s="43"/>
      <c r="BV32" s="51" t="e">
        <f t="shared" si="25"/>
        <v>#DIV/0!</v>
      </c>
      <c r="BW32" s="51" t="e">
        <f t="shared" si="25"/>
        <v>#DIV/0!</v>
      </c>
      <c r="BX32" s="51" t="e">
        <f t="shared" si="25"/>
        <v>#DIV/0!</v>
      </c>
      <c r="BY32" s="51" t="e">
        <f t="shared" si="16"/>
        <v>#DIV/0!</v>
      </c>
      <c r="BZ32" s="55"/>
      <c r="CA32" s="51"/>
      <c r="CC32" s="57"/>
    </row>
    <row r="33" spans="1:81" outlineLevel="1" x14ac:dyDescent="0.15">
      <c r="A33" s="46"/>
      <c r="B33" s="46" t="s">
        <v>28</v>
      </c>
      <c r="C33" s="3" t="s">
        <v>147</v>
      </c>
      <c r="D33" s="46">
        <v>375422539</v>
      </c>
      <c r="E33" s="3">
        <v>11</v>
      </c>
      <c r="F33" s="3">
        <v>32</v>
      </c>
      <c r="G33" s="3">
        <v>30</v>
      </c>
      <c r="I33" s="4" t="str">
        <f t="shared" si="0"/>
        <v>·</v>
      </c>
      <c r="J33" s="5" t="str">
        <f t="shared" si="1"/>
        <v>·</v>
      </c>
      <c r="K33" s="5" t="str">
        <f t="shared" si="2"/>
        <v>·</v>
      </c>
      <c r="L33" s="5" t="str">
        <f t="shared" si="3"/>
        <v>·</v>
      </c>
      <c r="M33" s="5" t="str">
        <f t="shared" si="4"/>
        <v>·</v>
      </c>
      <c r="N33" s="46" t="str">
        <f t="shared" si="5"/>
        <v/>
      </c>
      <c r="O33" s="5">
        <v>-12</v>
      </c>
      <c r="P33" s="6">
        <v>93835548</v>
      </c>
      <c r="Q33" s="6">
        <v>2932360.875</v>
      </c>
      <c r="R33" s="6">
        <v>47386.6875</v>
      </c>
      <c r="S33" s="7"/>
      <c r="T33" s="7"/>
      <c r="U33" s="7"/>
      <c r="V33" s="7"/>
      <c r="W33" s="8"/>
      <c r="X33" s="8"/>
      <c r="Y33" s="8"/>
      <c r="Z33" s="8"/>
      <c r="AA33" s="8"/>
      <c r="AB33" s="9"/>
      <c r="AC33" s="9"/>
      <c r="AD33" s="9"/>
      <c r="AE33" s="9"/>
      <c r="AG33" s="4" t="str">
        <f t="shared" si="6"/>
        <v>·</v>
      </c>
      <c r="AH33" s="5" t="str">
        <f t="shared" si="7"/>
        <v>·</v>
      </c>
      <c r="AI33" s="5" t="str">
        <f t="shared" si="8"/>
        <v>·</v>
      </c>
      <c r="AJ33" s="5" t="str">
        <f t="shared" si="9"/>
        <v>·</v>
      </c>
      <c r="AK33" s="5" t="str">
        <f t="shared" si="10"/>
        <v>·</v>
      </c>
      <c r="AL33" s="46" t="str">
        <f t="shared" si="11"/>
        <v/>
      </c>
      <c r="AM33" s="5">
        <v>-12</v>
      </c>
      <c r="AN33" s="6"/>
      <c r="AO33" s="6"/>
      <c r="AP33" s="6"/>
      <c r="AQ33" s="7"/>
      <c r="AR33" s="7"/>
      <c r="AS33" s="7"/>
      <c r="AT33" s="7"/>
      <c r="AU33" s="8"/>
      <c r="AV33" s="8"/>
      <c r="AW33" s="8"/>
      <c r="AX33" s="8"/>
      <c r="AY33" s="8"/>
      <c r="AZ33" s="9"/>
      <c r="BA33" s="9"/>
      <c r="BB33" s="9"/>
      <c r="BC33" s="9"/>
      <c r="BE33" s="44" t="e">
        <f t="shared" si="12"/>
        <v>#VALUE!</v>
      </c>
      <c r="BF33" s="10" t="e">
        <f t="shared" si="13"/>
        <v>#DIV/0!</v>
      </c>
      <c r="BG33" s="10" t="e">
        <f t="shared" si="14"/>
        <v>#VALUE!</v>
      </c>
      <c r="BH33" s="10"/>
      <c r="BJ33" s="44"/>
      <c r="BK33" s="44"/>
      <c r="BL33" s="44"/>
      <c r="BM33" s="44"/>
      <c r="BN33" s="44"/>
      <c r="BP33" s="44"/>
      <c r="BQ33" s="44"/>
      <c r="BR33" s="44"/>
      <c r="BS33" s="44"/>
      <c r="BT33" s="44"/>
      <c r="BV33" s="51" t="e">
        <f t="shared" si="25"/>
        <v>#DIV/0!</v>
      </c>
      <c r="BW33" s="51" t="e">
        <f t="shared" si="25"/>
        <v>#DIV/0!</v>
      </c>
      <c r="BX33" s="51" t="e">
        <f t="shared" si="25"/>
        <v>#DIV/0!</v>
      </c>
      <c r="BY33" s="51" t="e">
        <f t="shared" si="16"/>
        <v>#DIV/0!</v>
      </c>
      <c r="BZ33" s="55"/>
      <c r="CA33" s="51"/>
      <c r="CC33" s="57"/>
    </row>
    <row r="34" spans="1:81" ht="14.25" outlineLevel="1" thickBot="1" x14ac:dyDescent="0.2">
      <c r="A34" s="11"/>
      <c r="B34" s="30" t="s">
        <v>28</v>
      </c>
      <c r="C34" s="31" t="s">
        <v>148</v>
      </c>
      <c r="D34" s="30">
        <v>375422539</v>
      </c>
      <c r="E34" s="31">
        <v>11</v>
      </c>
      <c r="F34" s="31">
        <v>32</v>
      </c>
      <c r="G34" s="31">
        <v>30</v>
      </c>
      <c r="I34" s="32" t="str">
        <f t="shared" si="0"/>
        <v>·</v>
      </c>
      <c r="J34" s="33" t="str">
        <f t="shared" si="1"/>
        <v>·</v>
      </c>
      <c r="K34" s="33" t="str">
        <f t="shared" si="2"/>
        <v>·</v>
      </c>
      <c r="L34" s="33" t="str">
        <f t="shared" si="3"/>
        <v>·</v>
      </c>
      <c r="M34" s="33" t="str">
        <f t="shared" si="4"/>
        <v>·</v>
      </c>
      <c r="N34" s="30" t="str">
        <f t="shared" si="5"/>
        <v/>
      </c>
      <c r="O34" s="33">
        <v>-12</v>
      </c>
      <c r="P34" s="34">
        <v>91937439</v>
      </c>
      <c r="Q34" s="34">
        <v>2873044.96875</v>
      </c>
      <c r="R34" s="34">
        <v>18769.40625</v>
      </c>
      <c r="S34" s="35"/>
      <c r="T34" s="35"/>
      <c r="U34" s="35"/>
      <c r="V34" s="35"/>
      <c r="W34" s="36"/>
      <c r="X34" s="36"/>
      <c r="Y34" s="36"/>
      <c r="Z34" s="36"/>
      <c r="AA34" s="36"/>
      <c r="AB34" s="37"/>
      <c r="AC34" s="37"/>
      <c r="AD34" s="37"/>
      <c r="AE34" s="37"/>
      <c r="AG34" s="32" t="str">
        <f t="shared" si="6"/>
        <v>·</v>
      </c>
      <c r="AH34" s="33" t="str">
        <f t="shared" si="7"/>
        <v>·</v>
      </c>
      <c r="AI34" s="33" t="str">
        <f t="shared" si="8"/>
        <v>·</v>
      </c>
      <c r="AJ34" s="33" t="str">
        <f t="shared" si="9"/>
        <v>·</v>
      </c>
      <c r="AK34" s="33" t="str">
        <f t="shared" si="10"/>
        <v>·</v>
      </c>
      <c r="AL34" s="30" t="str">
        <f t="shared" si="11"/>
        <v/>
      </c>
      <c r="AM34" s="33">
        <v>-12</v>
      </c>
      <c r="AN34" s="34"/>
      <c r="AO34" s="34"/>
      <c r="AP34" s="34"/>
      <c r="AQ34" s="35"/>
      <c r="AR34" s="35"/>
      <c r="AS34" s="35"/>
      <c r="AT34" s="35"/>
      <c r="AU34" s="36"/>
      <c r="AV34" s="36"/>
      <c r="AW34" s="36"/>
      <c r="AX34" s="36"/>
      <c r="AY34" s="36"/>
      <c r="AZ34" s="37"/>
      <c r="BA34" s="37"/>
      <c r="BB34" s="37"/>
      <c r="BC34" s="37"/>
      <c r="BE34" s="38" t="e">
        <f t="shared" si="12"/>
        <v>#VALUE!</v>
      </c>
      <c r="BF34" s="39" t="e">
        <f t="shared" si="13"/>
        <v>#DIV/0!</v>
      </c>
      <c r="BG34" s="39" t="e">
        <f t="shared" si="14"/>
        <v>#VALUE!</v>
      </c>
      <c r="BH34" s="39"/>
      <c r="BJ34" s="38"/>
      <c r="BK34" s="38"/>
      <c r="BL34" s="38"/>
      <c r="BM34" s="38"/>
      <c r="BN34" s="38"/>
      <c r="BP34" s="38"/>
      <c r="BQ34" s="38"/>
      <c r="BR34" s="38"/>
      <c r="BS34" s="38"/>
      <c r="BT34" s="38"/>
      <c r="BV34" s="51" t="e">
        <f t="shared" si="25"/>
        <v>#DIV/0!</v>
      </c>
      <c r="BW34" s="51" t="e">
        <f t="shared" si="25"/>
        <v>#DIV/0!</v>
      </c>
      <c r="BX34" s="51" t="e">
        <f t="shared" si="25"/>
        <v>#DIV/0!</v>
      </c>
      <c r="BY34" s="51" t="e">
        <f t="shared" si="16"/>
        <v>#DIV/0!</v>
      </c>
      <c r="BZ34" s="55"/>
      <c r="CA34" s="51"/>
      <c r="CC34" s="57"/>
    </row>
    <row r="35" spans="1:81" x14ac:dyDescent="0.15">
      <c r="A35" s="46"/>
      <c r="B35" s="46" t="s">
        <v>29</v>
      </c>
      <c r="C35" s="3" t="s">
        <v>144</v>
      </c>
      <c r="D35" s="46">
        <v>333190689</v>
      </c>
      <c r="E35" s="3">
        <v>11</v>
      </c>
      <c r="F35" s="3">
        <v>32</v>
      </c>
      <c r="G35" s="3">
        <v>30</v>
      </c>
      <c r="I35" s="4" t="str">
        <f t="shared" si="0"/>
        <v>·</v>
      </c>
      <c r="J35" s="5" t="str">
        <f t="shared" si="1"/>
        <v>·</v>
      </c>
      <c r="K35" s="5" t="str">
        <f t="shared" si="2"/>
        <v>·</v>
      </c>
      <c r="L35" s="5" t="str">
        <f t="shared" si="3"/>
        <v>·</v>
      </c>
      <c r="M35" s="5" t="str">
        <f t="shared" si="4"/>
        <v>·</v>
      </c>
      <c r="N35" s="46" t="str">
        <f t="shared" si="5"/>
        <v/>
      </c>
      <c r="O35" s="5">
        <v>-12</v>
      </c>
      <c r="P35" s="6">
        <v>74921620</v>
      </c>
      <c r="Q35" s="6">
        <v>2341300.625</v>
      </c>
      <c r="R35" s="6">
        <v>30932.375</v>
      </c>
      <c r="S35" s="7"/>
      <c r="T35" s="7"/>
      <c r="U35" s="7"/>
      <c r="V35" s="7"/>
      <c r="W35" s="8"/>
      <c r="X35" s="8"/>
      <c r="Y35" s="8"/>
      <c r="Z35" s="8"/>
      <c r="AA35" s="8"/>
      <c r="AB35" s="9"/>
      <c r="AC35" s="9"/>
      <c r="AD35" s="9"/>
      <c r="AE35" s="9"/>
      <c r="AG35" s="4" t="str">
        <f t="shared" si="6"/>
        <v>·</v>
      </c>
      <c r="AH35" s="5" t="str">
        <f t="shared" si="7"/>
        <v>·</v>
      </c>
      <c r="AI35" s="5" t="str">
        <f t="shared" si="8"/>
        <v>·</v>
      </c>
      <c r="AJ35" s="5" t="str">
        <f t="shared" si="9"/>
        <v>·</v>
      </c>
      <c r="AK35" s="5" t="str">
        <f t="shared" si="10"/>
        <v>·</v>
      </c>
      <c r="AL35" s="46" t="str">
        <f t="shared" si="11"/>
        <v/>
      </c>
      <c r="AM35" s="5">
        <v>-12</v>
      </c>
      <c r="AN35" s="6"/>
      <c r="AO35" s="6"/>
      <c r="AP35" s="6"/>
      <c r="AQ35" s="7"/>
      <c r="AR35" s="7"/>
      <c r="AS35" s="7"/>
      <c r="AT35" s="7"/>
      <c r="AU35" s="8"/>
      <c r="AV35" s="8"/>
      <c r="AW35" s="8"/>
      <c r="AX35" s="8"/>
      <c r="AY35" s="8"/>
      <c r="AZ35" s="9"/>
      <c r="BA35" s="9"/>
      <c r="BB35" s="9"/>
      <c r="BC35" s="9"/>
      <c r="BE35" s="44" t="e">
        <f t="shared" si="12"/>
        <v>#VALUE!</v>
      </c>
      <c r="BF35" s="10" t="e">
        <f t="shared" si="13"/>
        <v>#DIV/0!</v>
      </c>
      <c r="BG35" s="10" t="e">
        <f t="shared" si="14"/>
        <v>#VALUE!</v>
      </c>
      <c r="BH35" s="10" t="e">
        <f t="array" ref="BH35">AVERAGE(AL35:AL39/AQ35:AQ39) - AVERAGE(N35:N39/S35:S39)</f>
        <v>#VALUE!</v>
      </c>
      <c r="BJ35" s="44" t="str">
        <f>IF( OR(ISBLANK(N35:N39),ISBLANK(AL35:AL39), ISBLANK(W35:W39),ISBLANK(AU35:AU39)), "·", bdRateExtend( N35:N39,W35:W39, AL35:AL39,AU35:AU39))</f>
        <v>·</v>
      </c>
      <c r="BK35" s="44" t="str">
        <f>IF( OR(ISBLANK(N35:N39),ISBLANK(AL35:AL39), ISBLANK(X35:X39),ISBLANK(AV35:AV39)), "·", bdRateExtend( N35:N39,X35:X39, AL35:AL39,AV35:AV39))</f>
        <v>·</v>
      </c>
      <c r="BL35" s="44" t="str">
        <f>IF( OR(ISBLANK(V35:V39),ISBLANK(AT35:AT39), ISBLANK(Y35:Y39),ISBLANK(AW35:AW39)), "·", bdRateExtend( V35:V39,Y35:Y39, AT35:AT39,AW35:AW39))</f>
        <v>·</v>
      </c>
      <c r="BM35" s="44" t="str">
        <f>IF( OR(ISBLANK(V35:V39),ISBLANK(AT35:AT39), ISBLANK(Z35:Z39),ISBLANK(AX35:AX39)), "·", bdRateExtend( V35:V39,Z35:Z39, AT35:AT39,AX35:AX39))</f>
        <v>·</v>
      </c>
      <c r="BN35" s="44" t="str">
        <f>IF( OR(ISBLANK(V35:V39),ISBLANK(AT35:AT39), ISBLANK(AA35:AA39),ISBLANK(AY35:AY39)), "·", bdRateExtend( V35:V39,AA35:AA39, AT35:AT39,AY35:AY39))</f>
        <v>·</v>
      </c>
      <c r="BP35" s="44" t="str">
        <f>IF( OR(ISBLANK(S35:S39),ISBLANK(AQ35:AQ39), ISBLANK(W35:W39),ISBLANK(AU35:AU39)), "·", bdRateExtend( S35:S39,W35:W39, AQ35:AQ39,AU35:AU39))</f>
        <v>·</v>
      </c>
      <c r="BQ35" s="44" t="str">
        <f>IF( OR(ISBLANK(S35:S39),ISBLANK(AQ35:AQ39), ISBLANK(X35:X39),ISBLANK(AV35:AV39)), "·", bdRateExtend( S35:S39,X35:X39, AQ35:AQ39,AV35:AV39))</f>
        <v>·</v>
      </c>
      <c r="BR35" s="44" t="str">
        <f>IF( OR(ISBLANK(S35:S39),ISBLANK(AQ35:AQ39), ISBLANK(Y35:Y39),ISBLANK(AW35:AW39)), "·", bdRateExtend( S35:S39,Y35:Y39, AQ35:AQ39,AW35:AW39))</f>
        <v>·</v>
      </c>
      <c r="BS35" s="44" t="str">
        <f>IF( OR(ISBLANK(S35:S39),ISBLANK(AQ35:AQ39), ISBLANK(Z35:Z39),ISBLANK(AX35:AX39)), "·", bdRateExtend( S35:S39,Z35:Z39, AQ35:AQ39,AX35:AX39))</f>
        <v>·</v>
      </c>
      <c r="BT35" s="44" t="str">
        <f>IF( OR(ISBLANK(S35:S39),ISBLANK(AQ35:AQ39), ISBLANK(AA35:AA39),ISBLANK(AY35:AY39)), "·", bdRateExtend( S35:S39,AA35:AA39, AQ35:AQ39,AY35:AY39))</f>
        <v>·</v>
      </c>
      <c r="BV35" s="51" t="e">
        <f t="shared" si="25"/>
        <v>#DIV/0!</v>
      </c>
      <c r="BW35" s="51" t="e">
        <f t="shared" si="25"/>
        <v>#DIV/0!</v>
      </c>
      <c r="BX35" s="51" t="e">
        <f t="shared" si="25"/>
        <v>#DIV/0!</v>
      </c>
      <c r="BY35" s="51" t="e">
        <f t="shared" si="16"/>
        <v>#DIV/0!</v>
      </c>
      <c r="BZ35" s="55"/>
      <c r="CA35" s="51"/>
      <c r="CC35" s="57"/>
    </row>
    <row r="36" spans="1:81" outlineLevel="1" x14ac:dyDescent="0.15">
      <c r="A36" s="11"/>
      <c r="B36" s="11" t="s">
        <v>29</v>
      </c>
      <c r="C36" s="12" t="s">
        <v>145</v>
      </c>
      <c r="D36" s="11">
        <v>333190689</v>
      </c>
      <c r="E36" s="12">
        <v>11</v>
      </c>
      <c r="F36" s="12">
        <v>32</v>
      </c>
      <c r="G36" s="12">
        <v>30</v>
      </c>
      <c r="I36" s="13" t="str">
        <f t="shared" si="0"/>
        <v>·</v>
      </c>
      <c r="J36" s="14" t="str">
        <f t="shared" si="1"/>
        <v>·</v>
      </c>
      <c r="K36" s="14" t="str">
        <f t="shared" si="2"/>
        <v>·</v>
      </c>
      <c r="L36" s="14" t="str">
        <f t="shared" si="3"/>
        <v>·</v>
      </c>
      <c r="M36" s="14" t="str">
        <f t="shared" si="4"/>
        <v>·</v>
      </c>
      <c r="N36" s="11" t="str">
        <f t="shared" si="5"/>
        <v/>
      </c>
      <c r="O36" s="14">
        <v>-12</v>
      </c>
      <c r="P36" s="15">
        <v>79893061</v>
      </c>
      <c r="Q36" s="15">
        <v>2496658.15625</v>
      </c>
      <c r="R36" s="15">
        <v>39014.28125</v>
      </c>
      <c r="S36" s="16"/>
      <c r="T36" s="16"/>
      <c r="U36" s="16"/>
      <c r="V36" s="16"/>
      <c r="W36" s="17"/>
      <c r="X36" s="17"/>
      <c r="Y36" s="17"/>
      <c r="Z36" s="17"/>
      <c r="AA36" s="17"/>
      <c r="AB36" s="18"/>
      <c r="AC36" s="18"/>
      <c r="AD36" s="18"/>
      <c r="AE36" s="18"/>
      <c r="AG36" s="13" t="str">
        <f t="shared" si="6"/>
        <v>·</v>
      </c>
      <c r="AH36" s="14" t="str">
        <f t="shared" si="7"/>
        <v>·</v>
      </c>
      <c r="AI36" s="14" t="str">
        <f t="shared" si="8"/>
        <v>·</v>
      </c>
      <c r="AJ36" s="14" t="str">
        <f t="shared" si="9"/>
        <v>·</v>
      </c>
      <c r="AK36" s="14" t="str">
        <f t="shared" si="10"/>
        <v>·</v>
      </c>
      <c r="AL36" s="11" t="str">
        <f t="shared" si="11"/>
        <v/>
      </c>
      <c r="AM36" s="14">
        <v>-12</v>
      </c>
      <c r="AN36" s="15"/>
      <c r="AO36" s="15"/>
      <c r="AP36" s="15"/>
      <c r="AQ36" s="16"/>
      <c r="AR36" s="16"/>
      <c r="AS36" s="16"/>
      <c r="AT36" s="16"/>
      <c r="AU36" s="17"/>
      <c r="AV36" s="17"/>
      <c r="AW36" s="17"/>
      <c r="AX36" s="17"/>
      <c r="AY36" s="17"/>
      <c r="AZ36" s="18"/>
      <c r="BA36" s="18"/>
      <c r="BB36" s="18"/>
      <c r="BC36" s="18"/>
      <c r="BE36" s="43" t="e">
        <f t="shared" si="12"/>
        <v>#VALUE!</v>
      </c>
      <c r="BF36" s="19" t="e">
        <f t="shared" si="13"/>
        <v>#DIV/0!</v>
      </c>
      <c r="BG36" s="19" t="e">
        <f t="shared" si="14"/>
        <v>#VALUE!</v>
      </c>
      <c r="BH36" s="19"/>
      <c r="BJ36" s="43"/>
      <c r="BK36" s="43"/>
      <c r="BL36" s="43"/>
      <c r="BM36" s="43"/>
      <c r="BN36" s="43"/>
      <c r="BP36" s="43"/>
      <c r="BQ36" s="43"/>
      <c r="BR36" s="43"/>
      <c r="BS36" s="43"/>
      <c r="BT36" s="43"/>
      <c r="BV36" s="51" t="e">
        <f t="shared" si="25"/>
        <v>#DIV/0!</v>
      </c>
      <c r="BW36" s="51" t="e">
        <f t="shared" si="25"/>
        <v>#DIV/0!</v>
      </c>
      <c r="BX36" s="51" t="e">
        <f t="shared" si="25"/>
        <v>#DIV/0!</v>
      </c>
      <c r="BY36" s="51" t="e">
        <f t="shared" si="16"/>
        <v>#DIV/0!</v>
      </c>
      <c r="BZ36" s="55"/>
      <c r="CA36" s="51"/>
      <c r="CC36" s="57"/>
    </row>
    <row r="37" spans="1:81" outlineLevel="1" x14ac:dyDescent="0.15">
      <c r="A37" s="46"/>
      <c r="B37" s="46" t="s">
        <v>29</v>
      </c>
      <c r="C37" s="3" t="s">
        <v>146</v>
      </c>
      <c r="D37" s="46">
        <v>333190689</v>
      </c>
      <c r="E37" s="3">
        <v>11</v>
      </c>
      <c r="F37" s="3">
        <v>32</v>
      </c>
      <c r="G37" s="3">
        <v>30</v>
      </c>
      <c r="I37" s="4" t="str">
        <f t="shared" si="0"/>
        <v>·</v>
      </c>
      <c r="J37" s="5" t="str">
        <f t="shared" si="1"/>
        <v>·</v>
      </c>
      <c r="K37" s="5" t="str">
        <f t="shared" si="2"/>
        <v>·</v>
      </c>
      <c r="L37" s="5" t="str">
        <f t="shared" si="3"/>
        <v>·</v>
      </c>
      <c r="M37" s="5" t="str">
        <f t="shared" si="4"/>
        <v>·</v>
      </c>
      <c r="N37" s="46" t="str">
        <f t="shared" si="5"/>
        <v/>
      </c>
      <c r="O37" s="5">
        <v>-12</v>
      </c>
      <c r="P37" s="6">
        <v>81688385</v>
      </c>
      <c r="Q37" s="6">
        <v>2552762.03125</v>
      </c>
      <c r="R37" s="6">
        <v>42067.1875</v>
      </c>
      <c r="S37" s="7"/>
      <c r="T37" s="7"/>
      <c r="U37" s="7"/>
      <c r="V37" s="7"/>
      <c r="W37" s="8"/>
      <c r="X37" s="8"/>
      <c r="Y37" s="8"/>
      <c r="Z37" s="8"/>
      <c r="AA37" s="8"/>
      <c r="AB37" s="9"/>
      <c r="AC37" s="9"/>
      <c r="AD37" s="9"/>
      <c r="AE37" s="9"/>
      <c r="AG37" s="4" t="str">
        <f t="shared" si="6"/>
        <v>·</v>
      </c>
      <c r="AH37" s="5" t="str">
        <f t="shared" si="7"/>
        <v>·</v>
      </c>
      <c r="AI37" s="5" t="str">
        <f t="shared" si="8"/>
        <v>·</v>
      </c>
      <c r="AJ37" s="5" t="str">
        <f t="shared" si="9"/>
        <v>·</v>
      </c>
      <c r="AK37" s="5" t="str">
        <f t="shared" si="10"/>
        <v>·</v>
      </c>
      <c r="AL37" s="46" t="str">
        <f t="shared" si="11"/>
        <v/>
      </c>
      <c r="AM37" s="5">
        <v>-12</v>
      </c>
      <c r="AN37" s="6"/>
      <c r="AO37" s="6"/>
      <c r="AP37" s="6"/>
      <c r="AQ37" s="7"/>
      <c r="AR37" s="7"/>
      <c r="AS37" s="7"/>
      <c r="AT37" s="7"/>
      <c r="AU37" s="8"/>
      <c r="AV37" s="8"/>
      <c r="AW37" s="8"/>
      <c r="AX37" s="8"/>
      <c r="AY37" s="8"/>
      <c r="AZ37" s="9"/>
      <c r="BA37" s="9"/>
      <c r="BB37" s="9"/>
      <c r="BC37" s="9"/>
      <c r="BE37" s="44" t="e">
        <f t="shared" si="12"/>
        <v>#VALUE!</v>
      </c>
      <c r="BF37" s="10" t="e">
        <f t="shared" si="13"/>
        <v>#DIV/0!</v>
      </c>
      <c r="BG37" s="10" t="e">
        <f t="shared" si="14"/>
        <v>#VALUE!</v>
      </c>
      <c r="BH37" s="10"/>
      <c r="BJ37" s="44"/>
      <c r="BK37" s="44"/>
      <c r="BL37" s="44"/>
      <c r="BM37" s="44"/>
      <c r="BN37" s="44"/>
      <c r="BP37" s="44"/>
      <c r="BQ37" s="44"/>
      <c r="BR37" s="44"/>
      <c r="BS37" s="44"/>
      <c r="BT37" s="44"/>
      <c r="BV37" s="51" t="e">
        <f t="shared" si="25"/>
        <v>#DIV/0!</v>
      </c>
      <c r="BW37" s="51" t="e">
        <f t="shared" si="25"/>
        <v>#DIV/0!</v>
      </c>
      <c r="BX37" s="51" t="e">
        <f t="shared" si="25"/>
        <v>#DIV/0!</v>
      </c>
      <c r="BY37" s="51" t="e">
        <f t="shared" si="16"/>
        <v>#DIV/0!</v>
      </c>
      <c r="BZ37" s="55"/>
      <c r="CA37" s="51"/>
      <c r="CC37" s="57"/>
    </row>
    <row r="38" spans="1:81" outlineLevel="1" x14ac:dyDescent="0.15">
      <c r="A38" s="11"/>
      <c r="B38" s="11" t="s">
        <v>29</v>
      </c>
      <c r="C38" s="12" t="s">
        <v>147</v>
      </c>
      <c r="D38" s="11">
        <v>333190689</v>
      </c>
      <c r="E38" s="12">
        <v>11</v>
      </c>
      <c r="F38" s="12">
        <v>32</v>
      </c>
      <c r="G38" s="12">
        <v>30</v>
      </c>
      <c r="I38" s="13" t="str">
        <f t="shared" si="0"/>
        <v>·</v>
      </c>
      <c r="J38" s="14" t="str">
        <f t="shared" si="1"/>
        <v>·</v>
      </c>
      <c r="K38" s="14" t="str">
        <f t="shared" si="2"/>
        <v>·</v>
      </c>
      <c r="L38" s="14" t="str">
        <f t="shared" si="3"/>
        <v>·</v>
      </c>
      <c r="M38" s="14" t="str">
        <f t="shared" si="4"/>
        <v>·</v>
      </c>
      <c r="N38" s="11" t="str">
        <f t="shared" si="5"/>
        <v/>
      </c>
      <c r="O38" s="14">
        <v>-12</v>
      </c>
      <c r="P38" s="15">
        <v>83757654</v>
      </c>
      <c r="Q38" s="15">
        <v>2617426.6875</v>
      </c>
      <c r="R38" s="15">
        <v>46922.8125</v>
      </c>
      <c r="S38" s="16"/>
      <c r="T38" s="16"/>
      <c r="U38" s="16"/>
      <c r="V38" s="16"/>
      <c r="W38" s="17"/>
      <c r="X38" s="17"/>
      <c r="Y38" s="17"/>
      <c r="Z38" s="17"/>
      <c r="AA38" s="17"/>
      <c r="AB38" s="18"/>
      <c r="AC38" s="18"/>
      <c r="AD38" s="18"/>
      <c r="AE38" s="18"/>
      <c r="AG38" s="13" t="str">
        <f t="shared" si="6"/>
        <v>·</v>
      </c>
      <c r="AH38" s="14" t="str">
        <f t="shared" si="7"/>
        <v>·</v>
      </c>
      <c r="AI38" s="14" t="str">
        <f t="shared" si="8"/>
        <v>·</v>
      </c>
      <c r="AJ38" s="14" t="str">
        <f t="shared" si="9"/>
        <v>·</v>
      </c>
      <c r="AK38" s="14" t="str">
        <f t="shared" si="10"/>
        <v>·</v>
      </c>
      <c r="AL38" s="11" t="str">
        <f t="shared" si="11"/>
        <v/>
      </c>
      <c r="AM38" s="14">
        <v>-12</v>
      </c>
      <c r="AN38" s="15"/>
      <c r="AO38" s="15"/>
      <c r="AP38" s="15"/>
      <c r="AQ38" s="16"/>
      <c r="AR38" s="16"/>
      <c r="AS38" s="16"/>
      <c r="AT38" s="16"/>
      <c r="AU38" s="17"/>
      <c r="AV38" s="17"/>
      <c r="AW38" s="17"/>
      <c r="AX38" s="17"/>
      <c r="AY38" s="17"/>
      <c r="AZ38" s="18"/>
      <c r="BA38" s="18"/>
      <c r="BB38" s="18"/>
      <c r="BC38" s="18"/>
      <c r="BE38" s="43" t="e">
        <f t="shared" si="12"/>
        <v>#VALUE!</v>
      </c>
      <c r="BF38" s="19" t="e">
        <f t="shared" si="13"/>
        <v>#DIV/0!</v>
      </c>
      <c r="BG38" s="19" t="e">
        <f t="shared" si="14"/>
        <v>#VALUE!</v>
      </c>
      <c r="BH38" s="19"/>
      <c r="BJ38" s="43"/>
      <c r="BK38" s="43"/>
      <c r="BL38" s="43"/>
      <c r="BM38" s="43"/>
      <c r="BN38" s="43"/>
      <c r="BP38" s="43"/>
      <c r="BQ38" s="43"/>
      <c r="BR38" s="43"/>
      <c r="BS38" s="43"/>
      <c r="BT38" s="43"/>
      <c r="BV38" s="51" t="e">
        <f t="shared" si="25"/>
        <v>#DIV/0!</v>
      </c>
      <c r="BW38" s="51" t="e">
        <f t="shared" si="25"/>
        <v>#DIV/0!</v>
      </c>
      <c r="BX38" s="51" t="e">
        <f t="shared" si="25"/>
        <v>#DIV/0!</v>
      </c>
      <c r="BY38" s="51" t="e">
        <f t="shared" si="16"/>
        <v>#DIV/0!</v>
      </c>
      <c r="BZ38" s="54"/>
      <c r="CC38" s="57"/>
    </row>
    <row r="39" spans="1:81" ht="14.25" outlineLevel="1" thickBot="1" x14ac:dyDescent="0.2">
      <c r="A39" s="20"/>
      <c r="B39" s="20" t="s">
        <v>29</v>
      </c>
      <c r="C39" s="21" t="s">
        <v>148</v>
      </c>
      <c r="D39" s="20">
        <v>333190689</v>
      </c>
      <c r="E39" s="21">
        <v>11</v>
      </c>
      <c r="F39" s="21">
        <v>32</v>
      </c>
      <c r="G39" s="21">
        <v>30</v>
      </c>
      <c r="I39" s="22" t="str">
        <f t="shared" si="0"/>
        <v>·</v>
      </c>
      <c r="J39" s="23" t="str">
        <f t="shared" si="1"/>
        <v>·</v>
      </c>
      <c r="K39" s="23" t="str">
        <f t="shared" si="2"/>
        <v>·</v>
      </c>
      <c r="L39" s="23" t="str">
        <f t="shared" si="3"/>
        <v>·</v>
      </c>
      <c r="M39" s="23" t="str">
        <f t="shared" si="4"/>
        <v>·</v>
      </c>
      <c r="N39" s="20" t="str">
        <f t="shared" si="5"/>
        <v/>
      </c>
      <c r="O39" s="23">
        <v>-12</v>
      </c>
      <c r="P39" s="24">
        <v>81959857</v>
      </c>
      <c r="Q39" s="24">
        <v>2561245.53125</v>
      </c>
      <c r="R39" s="24">
        <v>18607.15625</v>
      </c>
      <c r="S39" s="25"/>
      <c r="T39" s="25"/>
      <c r="U39" s="25"/>
      <c r="V39" s="25"/>
      <c r="W39" s="26"/>
      <c r="X39" s="26"/>
      <c r="Y39" s="26"/>
      <c r="Z39" s="26"/>
      <c r="AA39" s="26"/>
      <c r="AB39" s="27"/>
      <c r="AC39" s="27"/>
      <c r="AD39" s="27"/>
      <c r="AE39" s="27"/>
      <c r="AG39" s="22" t="str">
        <f t="shared" si="6"/>
        <v>·</v>
      </c>
      <c r="AH39" s="23" t="str">
        <f t="shared" si="7"/>
        <v>·</v>
      </c>
      <c r="AI39" s="23" t="str">
        <f t="shared" si="8"/>
        <v>·</v>
      </c>
      <c r="AJ39" s="23" t="str">
        <f t="shared" si="9"/>
        <v>·</v>
      </c>
      <c r="AK39" s="23" t="str">
        <f t="shared" si="10"/>
        <v>·</v>
      </c>
      <c r="AL39" s="20" t="str">
        <f t="shared" si="11"/>
        <v/>
      </c>
      <c r="AM39" s="23">
        <v>-12</v>
      </c>
      <c r="AN39" s="24"/>
      <c r="AO39" s="24"/>
      <c r="AP39" s="24"/>
      <c r="AQ39" s="25"/>
      <c r="AR39" s="25"/>
      <c r="AS39" s="25"/>
      <c r="AT39" s="25"/>
      <c r="AU39" s="26"/>
      <c r="AV39" s="26"/>
      <c r="AW39" s="26"/>
      <c r="AX39" s="26"/>
      <c r="AY39" s="26"/>
      <c r="AZ39" s="27"/>
      <c r="BA39" s="27"/>
      <c r="BB39" s="27"/>
      <c r="BC39" s="27"/>
      <c r="BE39" s="28" t="e">
        <f t="shared" si="12"/>
        <v>#VALUE!</v>
      </c>
      <c r="BF39" s="29" t="e">
        <f t="shared" si="13"/>
        <v>#DIV/0!</v>
      </c>
      <c r="BG39" s="29" t="e">
        <f t="shared" si="14"/>
        <v>#VALUE!</v>
      </c>
      <c r="BH39" s="29"/>
      <c r="BJ39" s="28"/>
      <c r="BK39" s="28"/>
      <c r="BL39" s="28"/>
      <c r="BM39" s="28"/>
      <c r="BN39" s="28"/>
      <c r="BP39" s="28"/>
      <c r="BQ39" s="28"/>
      <c r="BR39" s="28"/>
      <c r="BS39" s="28"/>
      <c r="BT39" s="28"/>
      <c r="BV39" s="52" t="e">
        <f t="shared" si="25"/>
        <v>#DIV/0!</v>
      </c>
      <c r="BW39" s="52" t="e">
        <f t="shared" si="25"/>
        <v>#DIV/0!</v>
      </c>
      <c r="BX39" s="52" t="e">
        <f t="shared" si="25"/>
        <v>#DIV/0!</v>
      </c>
      <c r="BY39" s="52" t="e">
        <f t="shared" si="16"/>
        <v>#DIV/0!</v>
      </c>
      <c r="BZ39" s="54"/>
      <c r="CC39" s="57"/>
    </row>
    <row r="40" spans="1:81" x14ac:dyDescent="0.15">
      <c r="B40" s="40" t="s">
        <v>9</v>
      </c>
      <c r="J40" s="41">
        <f>AVERAGE(J5:J24)</f>
        <v>4.4208546081002734E-2</v>
      </c>
      <c r="K40" s="41">
        <f>AVERAGE(K5:K24)</f>
        <v>1.3836094495758086E-2</v>
      </c>
      <c r="L40" s="41">
        <f>AVERAGE(L5:L24)</f>
        <v>9.6969495541967075E-3</v>
      </c>
      <c r="M40" s="41">
        <f>AVERAGE(M5:M24)</f>
        <v>3.0372451585244636E-2</v>
      </c>
      <c r="AH40" s="41">
        <f>AVERAGE(AH5:AH24)</f>
        <v>4.4173643887747541E-2</v>
      </c>
      <c r="AI40" s="41">
        <f>AVERAGE(AI5:AI24)</f>
        <v>1.3883878328974572E-2</v>
      </c>
      <c r="AJ40" s="41">
        <f>AVERAGE(AJ5:AJ24)</f>
        <v>9.7447333874131938E-3</v>
      </c>
      <c r="AK40" s="41">
        <f>AVERAGE(AK5:AK24)</f>
        <v>3.0289765558772976E-2</v>
      </c>
      <c r="BE40" s="45">
        <f t="shared" si="12"/>
        <v>1.003453563665031</v>
      </c>
      <c r="BH40" s="47">
        <f>AVERAGE(BH5:BH24)</f>
        <v>1.9982276181848835E-3</v>
      </c>
      <c r="BJ40" s="45">
        <f>AVERAGE(BJ5:BJ24)</f>
        <v>7.5239014843565544E-3</v>
      </c>
      <c r="BK40" s="45">
        <f>AVERAGE(BK5:BK24)</f>
        <v>9.8381044113673433E-3</v>
      </c>
      <c r="BL40" s="45">
        <f>AVERAGE(BL5:BL24)</f>
        <v>2.9352456941813154E-2</v>
      </c>
      <c r="BM40" s="45">
        <f>AVERAGE(BM5:BM24)</f>
        <v>-1.932647568470286E-2</v>
      </c>
      <c r="BN40" s="45">
        <f>AVERAGE(BN5:BN24)</f>
        <v>-7.0113152377932475E-3</v>
      </c>
      <c r="BP40" s="45">
        <f>AVERAGE(BP5:BP24)</f>
        <v>3.7502677907165771E-3</v>
      </c>
      <c r="BQ40" s="45">
        <f>AVERAGE(BQ5:BQ24)</f>
        <v>8.1924559265036945E-3</v>
      </c>
      <c r="BR40" s="45">
        <f>AVERAGE(BR5:BR24)</f>
        <v>2.3987257979275922E-2</v>
      </c>
      <c r="BS40" s="45">
        <f>AVERAGE(BS5:BS24)</f>
        <v>-1.2738045757402394E-2</v>
      </c>
      <c r="BT40" s="45">
        <f>AVERAGE(BT5:BT24)</f>
        <v>-3.780766930940288E-3</v>
      </c>
      <c r="BV40" s="51">
        <f>AVERAGE(BV5:BV29)</f>
        <v>0.67386965177079505</v>
      </c>
      <c r="BW40" s="51">
        <f t="shared" ref="BW40:BX40" si="29">AVERAGE(BW5:BW29)</f>
        <v>0.65009217238434358</v>
      </c>
      <c r="BX40" s="51">
        <f t="shared" si="29"/>
        <v>0.4016417258520058</v>
      </c>
      <c r="BY40" s="59">
        <f>AVERAGE(BV40:BW40)</f>
        <v>0.66198091207756926</v>
      </c>
      <c r="BZ40" s="54"/>
      <c r="CB40" s="51"/>
      <c r="CC40" s="58"/>
    </row>
    <row r="41" spans="1:81" x14ac:dyDescent="0.15">
      <c r="B41" s="40" t="s">
        <v>10</v>
      </c>
      <c r="J41" s="41">
        <f>AVERAGE(J25:J29)</f>
        <v>7.9821412994069529E-2</v>
      </c>
      <c r="K41" s="41">
        <f>AVERAGE(K25:K29)</f>
        <v>1.2343170896124311E-2</v>
      </c>
      <c r="L41" s="41">
        <f>AVERAGE(L25:L29)</f>
        <v>9.0938284872662568E-3</v>
      </c>
      <c r="M41" s="41">
        <f>AVERAGE(M25:M29)</f>
        <v>6.7478242097945215E-2</v>
      </c>
      <c r="AH41" s="41">
        <f>AVERAGE(AH25:AH29)</f>
        <v>7.9761291836512857E-2</v>
      </c>
      <c r="AI41" s="41">
        <f>AVERAGE(AI25:AI29)</f>
        <v>1.2393319804261685E-2</v>
      </c>
      <c r="AJ41" s="41">
        <f>AVERAGE(AJ25:AJ29)</f>
        <v>9.1439773954036276E-3</v>
      </c>
      <c r="AK41" s="41">
        <f>AVERAGE(AK25:AK29)</f>
        <v>6.7367972032251172E-2</v>
      </c>
      <c r="BE41" s="45">
        <f t="shared" si="12"/>
        <v>1.0040628869647361</v>
      </c>
      <c r="BH41" s="47">
        <f>AVERAGE(BH25:BH29)</f>
        <v>1.0679682323508355E-3</v>
      </c>
      <c r="BJ41" s="45">
        <f>AVERAGE(BJ25:BJ29)</f>
        <v>8.620350799813048E-3</v>
      </c>
      <c r="BK41" s="45">
        <f>AVERAGE(BK25:BK29)</f>
        <v>1.2905427814851045E-2</v>
      </c>
      <c r="BL41" s="45">
        <f>AVERAGE(BL25:BL29)</f>
        <v>1.4480727664464732E-2</v>
      </c>
      <c r="BM41" s="45">
        <f>AVERAGE(BM25:BM29)</f>
        <v>9.4094994946987143E-3</v>
      </c>
      <c r="BN41" s="45">
        <f>AVERAGE(BN25:BN29)</f>
        <v>1.6418077919417851E-2</v>
      </c>
      <c r="BP41" s="45">
        <f>AVERAGE(BP25:BP29)</f>
        <v>8.4350487426987364E-3</v>
      </c>
      <c r="BQ41" s="45">
        <f>AVERAGE(BQ25:BQ29)</f>
        <v>1.7550305024949475E-2</v>
      </c>
      <c r="BR41" s="45">
        <f>AVERAGE(BR25:BR29)</f>
        <v>1.3373898465823153E-2</v>
      </c>
      <c r="BS41" s="45">
        <f>AVERAGE(BS25:BS29)</f>
        <v>8.681824535555549E-3</v>
      </c>
      <c r="BT41" s="45">
        <f>AVERAGE(BT25:BT29)</f>
        <v>1.4461810556978927E-2</v>
      </c>
    </row>
    <row r="42" spans="1:81" x14ac:dyDescent="0.15">
      <c r="B42" s="40" t="s">
        <v>11</v>
      </c>
      <c r="J42" s="41" t="e">
        <f>AVERAGE(J30:J39)</f>
        <v>#DIV/0!</v>
      </c>
      <c r="K42" s="41" t="e">
        <f>AVERAGE(K30:K39)</f>
        <v>#DIV/0!</v>
      </c>
      <c r="L42" s="41" t="e">
        <f>AVERAGE(L30:L39)</f>
        <v>#DIV/0!</v>
      </c>
      <c r="M42" s="41" t="e">
        <f>AVERAGE(M30:M39)</f>
        <v>#DIV/0!</v>
      </c>
      <c r="AH42" s="41" t="e">
        <f>AVERAGE(AH30:AH39)</f>
        <v>#DIV/0!</v>
      </c>
      <c r="AI42" s="41" t="e">
        <f>AVERAGE(AI30:AI39)</f>
        <v>#DIV/0!</v>
      </c>
      <c r="AJ42" s="41" t="e">
        <f>AVERAGE(AJ30:AJ39)</f>
        <v>#DIV/0!</v>
      </c>
      <c r="AK42" s="41" t="e">
        <f>AVERAGE(AK30:AK39)</f>
        <v>#DIV/0!</v>
      </c>
      <c r="BE42" s="45" t="e">
        <f t="shared" si="12"/>
        <v>#DIV/0!</v>
      </c>
      <c r="BH42" s="47" t="e">
        <f>AVERAGE(BH30:BH39)</f>
        <v>#VALUE!</v>
      </c>
      <c r="BJ42" s="45" t="e">
        <f>AVERAGE(BJ30:BJ39)</f>
        <v>#DIV/0!</v>
      </c>
      <c r="BK42" s="45" t="e">
        <f>AVERAGE(BK30:BK39)</f>
        <v>#DIV/0!</v>
      </c>
      <c r="BL42" s="45" t="e">
        <f>AVERAGE(BL30:BL39)</f>
        <v>#DIV/0!</v>
      </c>
      <c r="BM42" s="45" t="e">
        <f>AVERAGE(BM30:BM39)</f>
        <v>#DIV/0!</v>
      </c>
      <c r="BN42" s="45" t="e">
        <f>AVERAGE(BN30:BN39)</f>
        <v>#DIV/0!</v>
      </c>
      <c r="BP42" s="45" t="e">
        <f>AVERAGE(BP30:BP39)</f>
        <v>#DIV/0!</v>
      </c>
      <c r="BQ42" s="45" t="e">
        <f>AVERAGE(BQ30:BQ39)</f>
        <v>#DIV/0!</v>
      </c>
      <c r="BR42" s="45" t="e">
        <f>AVERAGE(BR30:BR39)</f>
        <v>#DIV/0!</v>
      </c>
      <c r="BS42" s="45" t="e">
        <f>AVERAGE(BS30:BS39)</f>
        <v>#DIV/0!</v>
      </c>
      <c r="BT42" s="45" t="e">
        <f>AVERAGE(BT30:BT39)</f>
        <v>#DIV/0!</v>
      </c>
    </row>
    <row r="43" spans="1:81" x14ac:dyDescent="0.15">
      <c r="B43" s="40" t="s">
        <v>12</v>
      </c>
      <c r="J43" s="41">
        <f>AVERAGE(J5:J39)</f>
        <v>5.1331119463616091E-2</v>
      </c>
      <c r="K43" s="41">
        <f>AVERAGE(K5:K39)</f>
        <v>1.3537509775831333E-2</v>
      </c>
      <c r="L43" s="41">
        <f>AVERAGE(L5:L39)</f>
        <v>9.5763253408106177E-3</v>
      </c>
      <c r="M43" s="41">
        <f>AVERAGE(M5:M39)</f>
        <v>3.7793609687784752E-2</v>
      </c>
      <c r="AH43" s="41">
        <f>AVERAGE(AH5:AH39)</f>
        <v>5.1291173477500604E-2</v>
      </c>
      <c r="AI43" s="41">
        <f>AVERAGE(AI5:AI39)</f>
        <v>1.3585766624031994E-2</v>
      </c>
      <c r="AJ43" s="41">
        <f>AVERAGE(AJ5:AJ39)</f>
        <v>9.6245821890112819E-3</v>
      </c>
      <c r="AK43" s="41">
        <f>AVERAGE(AK5:AK39)</f>
        <v>3.7705406853468612E-2</v>
      </c>
      <c r="BE43" s="45">
        <f t="shared" si="12"/>
        <v>1.0035646768866469</v>
      </c>
      <c r="BH43" s="47" t="e">
        <f>AVERAGE(BH5:BH39)</f>
        <v>#VALUE!</v>
      </c>
      <c r="BJ43" s="45">
        <f>AVERAGE(BJ5:BJ39)</f>
        <v>7.7431913474478534E-3</v>
      </c>
      <c r="BK43" s="45">
        <f>AVERAGE(BK5:BK39)</f>
        <v>1.0451569092064083E-2</v>
      </c>
      <c r="BL43" s="45">
        <f>AVERAGE(BL5:BL39)</f>
        <v>2.637811108634347E-2</v>
      </c>
      <c r="BM43" s="45">
        <f>AVERAGE(BM5:BM39)</f>
        <v>-1.3579280648822545E-2</v>
      </c>
      <c r="BN43" s="45">
        <f>AVERAGE(BN5:BN39)</f>
        <v>-2.3254366063510277E-3</v>
      </c>
      <c r="BP43" s="45">
        <f>AVERAGE(BP5:BP39)</f>
        <v>4.6872239811130093E-3</v>
      </c>
      <c r="BQ43" s="45">
        <f>AVERAGE(BQ5:BQ39)</f>
        <v>1.0064025746192851E-2</v>
      </c>
      <c r="BR43" s="45">
        <f>AVERAGE(BR5:BR39)</f>
        <v>2.1864586076585368E-2</v>
      </c>
      <c r="BS43" s="45">
        <f>AVERAGE(BS5:BS39)</f>
        <v>-8.4540716988108049E-3</v>
      </c>
      <c r="BT43" s="45">
        <f>AVERAGE(BT5:BT39)</f>
        <v>-1.3225143335644508E-4</v>
      </c>
      <c r="BV43" s="51" t="e">
        <f>AVERAGE(BV5:BV39)</f>
        <v>#DIV/0!</v>
      </c>
      <c r="BW43" s="51" t="e">
        <f>AVERAGE(BW5:BW39)</f>
        <v>#DIV/0!</v>
      </c>
      <c r="BX43" s="51" t="e">
        <f t="shared" ref="BX43" si="30">AVERAGE(BX8:BX32)</f>
        <v>#DIV/0!</v>
      </c>
      <c r="BY43" s="51" t="e">
        <f>AVERAGE(BV43:BW43)</f>
        <v>#DIV/0!</v>
      </c>
      <c r="BZ43" s="51"/>
      <c r="CA43" s="51"/>
    </row>
    <row r="44" spans="1:81" hidden="1" outlineLevel="2" x14ac:dyDescent="0.15">
      <c r="A44" s="40" t="s">
        <v>151</v>
      </c>
      <c r="B44" s="40" t="s">
        <v>152</v>
      </c>
      <c r="AB44" s="42">
        <f>SUM(AB5:AB24,AB25:AB29,AB30:AB39)</f>
        <v>13583.588</v>
      </c>
      <c r="AC44" s="42">
        <f>SUM(AC5:AC24,AC25:AC29,AC30:AC39)</f>
        <v>12281.821999999998</v>
      </c>
      <c r="AD44" s="42">
        <f>SUM(AD5:AD24,AD25:AD29,AD30:AD39)</f>
        <v>42747.12999999999</v>
      </c>
      <c r="AE44" s="42">
        <f>SUM(AE5:AE24,AE25:AE29,AE30:AE39)</f>
        <v>256.86500000000001</v>
      </c>
      <c r="AZ44" s="42">
        <f>SUM(AZ5:AZ24,AZ25:AZ29,AZ30:AZ39)</f>
        <v>4542.6040000000012</v>
      </c>
      <c r="BA44" s="42">
        <f>SUM(BA5:BA24,BA25:BA29,BA30:BA39)</f>
        <v>4548.5930000000008</v>
      </c>
      <c r="BB44" s="42">
        <f>SUM(BB5:BB24,BB25:BB29,BB30:BB39)</f>
        <v>25917.700000000004</v>
      </c>
      <c r="BC44" s="42">
        <f>SUM(BC5:BC24,BC25:BC29,BC30:BC39)</f>
        <v>255.739</v>
      </c>
    </row>
    <row r="45" spans="1:81" hidden="1" outlineLevel="2" x14ac:dyDescent="0.15">
      <c r="B45" s="40" t="s">
        <v>153</v>
      </c>
      <c r="AZ45" s="47">
        <f>AZ44/AB44</f>
        <v>0.33441856452065544</v>
      </c>
      <c r="BA45" s="47">
        <f>BA44/AC44</f>
        <v>0.37035164652280428</v>
      </c>
      <c r="BB45" s="47">
        <f>BB44/AD44</f>
        <v>0.60630269213395172</v>
      </c>
      <c r="BC45" s="47">
        <f>BC44/AE44</f>
        <v>0.99561637436007244</v>
      </c>
    </row>
    <row r="46" spans="1:81" ht="27" hidden="1" outlineLevel="2" x14ac:dyDescent="0.15">
      <c r="B46" s="40" t="s">
        <v>154</v>
      </c>
      <c r="AB46" s="42">
        <f>GEOMEAN(AB5:AB24,AB25:AB29,AB30:AB39)</f>
        <v>539.64837334668141</v>
      </c>
      <c r="AC46" s="42">
        <f>GEOMEAN(AC5:AC24,AC25:AC29,AC30:AC39)</f>
        <v>485.97404488690677</v>
      </c>
      <c r="AD46" s="42">
        <f>GEOMEAN(AD5:AD24,AD25:AD29,AD30:AD39)</f>
        <v>1693.5332530839414</v>
      </c>
      <c r="AE46" s="42">
        <f>GEOMEAN(AE5:AE24,AE25:AE29,AE30:AE39)</f>
        <v>10.267166311101912</v>
      </c>
      <c r="AZ46" s="42">
        <f>GEOMEAN(AZ5:AZ24,AZ25:AZ29,AZ30:AZ39)</f>
        <v>170.6122616223777</v>
      </c>
      <c r="BA46" s="42">
        <f>GEOMEAN(BA5:BA24,BA25:BA29,BA30:BA39)</f>
        <v>157.78629572871498</v>
      </c>
      <c r="BB46" s="42">
        <f>GEOMEAN(BB5:BB24,BB25:BB29,BB30:BB39)</f>
        <v>1007.4140632671985</v>
      </c>
      <c r="BC46" s="42">
        <f>GEOMEAN(BC5:BC24,BC25:BC29,BC30:BC39)</f>
        <v>10.222102123166154</v>
      </c>
    </row>
    <row r="47" spans="1:81" ht="27" outlineLevel="2" collapsed="1" x14ac:dyDescent="0.15">
      <c r="B47" s="40" t="s">
        <v>155</v>
      </c>
      <c r="AZ47" s="47">
        <f>AZ46/AB46</f>
        <v>0.31615449994652872</v>
      </c>
      <c r="BA47" s="47">
        <f>BA46/AC46</f>
        <v>0.32468049968683849</v>
      </c>
      <c r="BB47" s="47">
        <f>BB46/AD46</f>
        <v>0.59485933413630177</v>
      </c>
      <c r="BC47" s="47">
        <f>BC46/AE46</f>
        <v>0.99561084465077476</v>
      </c>
    </row>
  </sheetData>
  <mergeCells count="45">
    <mergeCell ref="BP2:BQ2"/>
    <mergeCell ref="BR2:BT2"/>
    <mergeCell ref="BV2:BY2"/>
    <mergeCell ref="BZ2:CC2"/>
    <mergeCell ref="CD2:CF2"/>
    <mergeCell ref="BL2:BN2"/>
    <mergeCell ref="AP2:AP3"/>
    <mergeCell ref="AQ2:AT2"/>
    <mergeCell ref="AU2:AV2"/>
    <mergeCell ref="AW2:AY2"/>
    <mergeCell ref="AZ2:BA2"/>
    <mergeCell ref="BB2:BC2"/>
    <mergeCell ref="BE2:BE3"/>
    <mergeCell ref="BF2:BF3"/>
    <mergeCell ref="BG2:BG3"/>
    <mergeCell ref="BH2:BH3"/>
    <mergeCell ref="BJ2:BK2"/>
    <mergeCell ref="AO2:AO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Q2:Q3"/>
    <mergeCell ref="A1:G1"/>
    <mergeCell ref="I1:AE1"/>
    <mergeCell ref="AG1:BC1"/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</mergeCells>
  <phoneticPr fontId="2" type="noConversion"/>
  <conditionalFormatting sqref="BE5:BE43">
    <cfRule type="cellIs" dxfId="109" priority="1" operator="greaterThanOrEqual">
      <formula>1.03</formula>
    </cfRule>
    <cfRule type="cellIs" dxfId="108" priority="2" operator="lessThanOrEqual">
      <formula>0.97</formula>
    </cfRule>
  </conditionalFormatting>
  <conditionalFormatting sqref="BJ5:BJ43">
    <cfRule type="cellIs" dxfId="107" priority="21" operator="greaterThanOrEqual">
      <formula>0.03</formula>
    </cfRule>
    <cfRule type="cellIs" dxfId="106" priority="22" operator="lessThanOrEqual">
      <formula>-0.03</formula>
    </cfRule>
  </conditionalFormatting>
  <conditionalFormatting sqref="BK5:BK43">
    <cfRule type="cellIs" dxfId="105" priority="19" operator="greaterThanOrEqual">
      <formula>0.03</formula>
    </cfRule>
    <cfRule type="cellIs" dxfId="104" priority="20" operator="lessThanOrEqual">
      <formula>-0.03</formula>
    </cfRule>
  </conditionalFormatting>
  <conditionalFormatting sqref="BL5:BL43">
    <cfRule type="cellIs" dxfId="103" priority="5" operator="greaterThanOrEqual">
      <formula>0.03</formula>
    </cfRule>
    <cfRule type="cellIs" dxfId="102" priority="6" operator="lessThanOrEqual">
      <formula>-0.03</formula>
    </cfRule>
  </conditionalFormatting>
  <conditionalFormatting sqref="BM5:BM43">
    <cfRule type="cellIs" dxfId="101" priority="9" operator="greaterThanOrEqual">
      <formula>0.03</formula>
    </cfRule>
    <cfRule type="cellIs" dxfId="100" priority="10" operator="lessThanOrEqual">
      <formula>-0.03</formula>
    </cfRule>
  </conditionalFormatting>
  <conditionalFormatting sqref="BN5:BN43">
    <cfRule type="cellIs" dxfId="99" priority="11" operator="greaterThanOrEqual">
      <formula>0.03</formula>
    </cfRule>
    <cfRule type="cellIs" dxfId="98" priority="12" operator="lessThanOrEqual">
      <formula>-0.03</formula>
    </cfRule>
  </conditionalFormatting>
  <conditionalFormatting sqref="BP5:BP43">
    <cfRule type="cellIs" dxfId="97" priority="7" operator="greaterThanOrEqual">
      <formula>0.03</formula>
    </cfRule>
    <cfRule type="cellIs" dxfId="96" priority="8" operator="lessThanOrEqual">
      <formula>-0.03</formula>
    </cfRule>
  </conditionalFormatting>
  <conditionalFormatting sqref="BQ5:BQ43">
    <cfRule type="cellIs" dxfId="95" priority="13" operator="greaterThanOrEqual">
      <formula>0.03</formula>
    </cfRule>
    <cfRule type="cellIs" dxfId="94" priority="14" operator="lessThanOrEqual">
      <formula>-0.03</formula>
    </cfRule>
  </conditionalFormatting>
  <conditionalFormatting sqref="BR5:BR43">
    <cfRule type="cellIs" dxfId="93" priority="3" operator="greaterThanOrEqual">
      <formula>0.03</formula>
    </cfRule>
    <cfRule type="cellIs" dxfId="92" priority="4" operator="lessThanOrEqual">
      <formula>-0.03</formula>
    </cfRule>
  </conditionalFormatting>
  <conditionalFormatting sqref="BS5:BS43">
    <cfRule type="cellIs" dxfId="91" priority="15" operator="greaterThanOrEqual">
      <formula>0.03</formula>
    </cfRule>
    <cfRule type="cellIs" dxfId="90" priority="16" operator="lessThanOrEqual">
      <formula>-0.03</formula>
    </cfRule>
  </conditionalFormatting>
  <conditionalFormatting sqref="BT5:BT43">
    <cfRule type="cellIs" dxfId="89" priority="17" operator="greaterThanOrEqual">
      <formula>0.03</formula>
    </cfRule>
    <cfRule type="cellIs" dxfId="88" priority="1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4D5EE-DC4F-4DFC-8025-D8DBEE233B76}">
  <sheetPr>
    <outlinePr summaryBelow="0"/>
  </sheetPr>
  <dimension ref="A1:CF47"/>
  <sheetViews>
    <sheetView zoomScale="85" zoomScaleNormal="85" workbookViewId="0">
      <pane xSplit="2" ySplit="4" topLeftCell="BH5" activePane="bottomRight" state="frozen"/>
      <selection pane="topRight" activeCell="C1" sqref="C1"/>
      <selection pane="bottomLeft" activeCell="A5" sqref="A5"/>
      <selection pane="bottomRight" activeCell="BU32" sqref="BU32"/>
    </sheetView>
  </sheetViews>
  <sheetFormatPr defaultRowHeight="13.5" outlineLevelRow="2" x14ac:dyDescent="0.15"/>
  <cols>
    <col min="2" max="2" width="24.75" customWidth="1"/>
    <col min="4" max="5" width="10.75" customWidth="1"/>
    <col min="8" max="8" width="1.75" customWidth="1"/>
    <col min="10" max="13" width="10.75" customWidth="1"/>
    <col min="14" max="14" width="24.75" hidden="1" customWidth="1"/>
    <col min="15" max="15" width="12.75" customWidth="1"/>
    <col min="16" max="16" width="10.75" customWidth="1"/>
    <col min="19" max="22" width="12.75" customWidth="1"/>
    <col min="23" max="27" width="11.75" customWidth="1"/>
    <col min="32" max="32" width="1.75" customWidth="1"/>
    <col min="34" max="37" width="10.75" customWidth="1"/>
    <col min="38" max="38" width="24.75" hidden="1" customWidth="1"/>
    <col min="39" max="39" width="12.75" customWidth="1"/>
    <col min="40" max="40" width="10.75" customWidth="1"/>
    <col min="43" max="46" width="12.75" customWidth="1"/>
    <col min="47" max="51" width="11.75" customWidth="1"/>
    <col min="56" max="56" width="1.75" customWidth="1"/>
    <col min="61" max="61" width="1.75" customWidth="1"/>
    <col min="64" max="66" width="11.75" customWidth="1"/>
    <col min="67" max="67" width="1.75" customWidth="1"/>
    <col min="70" max="72" width="11.75" customWidth="1"/>
    <col min="73" max="73" width="1.75" customWidth="1"/>
    <col min="74" max="74" width="10.75" bestFit="1" customWidth="1"/>
    <col min="75" max="75" width="12" bestFit="1" customWidth="1"/>
    <col min="76" max="76" width="10.625" customWidth="1"/>
    <col min="77" max="79" width="11.25" customWidth="1"/>
    <col min="82" max="84" width="9" style="51"/>
  </cols>
  <sheetData>
    <row r="1" spans="1:84" x14ac:dyDescent="0.15">
      <c r="A1" s="70" t="s">
        <v>50</v>
      </c>
      <c r="B1" s="62"/>
      <c r="C1" s="62"/>
      <c r="D1" s="62"/>
      <c r="E1" s="62"/>
      <c r="F1" s="62"/>
      <c r="G1" s="62"/>
      <c r="I1" s="71" t="e">
        <f>#REF!</f>
        <v>#REF!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G1" s="72" t="e">
        <f>#REF!</f>
        <v>#REF!</v>
      </c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</row>
    <row r="2" spans="1:84" ht="30" customHeight="1" thickBot="1" x14ac:dyDescent="0.2">
      <c r="A2" s="69" t="s">
        <v>51</v>
      </c>
      <c r="B2" s="67" t="s">
        <v>52</v>
      </c>
      <c r="C2" s="69" t="s">
        <v>53</v>
      </c>
      <c r="D2" s="67" t="s">
        <v>54</v>
      </c>
      <c r="E2" s="69" t="s">
        <v>55</v>
      </c>
      <c r="F2" s="67" t="s">
        <v>56</v>
      </c>
      <c r="G2" s="69" t="s">
        <v>57</v>
      </c>
      <c r="I2" s="67" t="s">
        <v>58</v>
      </c>
      <c r="J2" s="63" t="s">
        <v>59</v>
      </c>
      <c r="K2" s="62"/>
      <c r="L2" s="62"/>
      <c r="M2" s="62"/>
      <c r="N2" s="69" t="s">
        <v>60</v>
      </c>
      <c r="O2" s="67" t="s">
        <v>61</v>
      </c>
      <c r="P2" s="69" t="s">
        <v>33</v>
      </c>
      <c r="Q2" s="67" t="s">
        <v>35</v>
      </c>
      <c r="R2" s="69" t="s">
        <v>31</v>
      </c>
      <c r="S2" s="61" t="s">
        <v>62</v>
      </c>
      <c r="T2" s="62"/>
      <c r="U2" s="62"/>
      <c r="V2" s="62"/>
      <c r="W2" s="63" t="s">
        <v>63</v>
      </c>
      <c r="X2" s="62"/>
      <c r="Y2" s="61" t="s">
        <v>64</v>
      </c>
      <c r="Z2" s="62"/>
      <c r="AA2" s="62"/>
      <c r="AB2" s="63" t="s">
        <v>65</v>
      </c>
      <c r="AC2" s="62"/>
      <c r="AD2" s="61" t="s">
        <v>66</v>
      </c>
      <c r="AE2" s="62"/>
      <c r="AG2" s="69" t="s">
        <v>58</v>
      </c>
      <c r="AH2" s="61" t="s">
        <v>59</v>
      </c>
      <c r="AI2" s="62"/>
      <c r="AJ2" s="62"/>
      <c r="AK2" s="62"/>
      <c r="AL2" s="67" t="s">
        <v>67</v>
      </c>
      <c r="AM2" s="69" t="s">
        <v>61</v>
      </c>
      <c r="AN2" s="67" t="s">
        <v>33</v>
      </c>
      <c r="AO2" s="69" t="s">
        <v>35</v>
      </c>
      <c r="AP2" s="67" t="s">
        <v>31</v>
      </c>
      <c r="AQ2" s="63" t="s">
        <v>62</v>
      </c>
      <c r="AR2" s="62"/>
      <c r="AS2" s="62"/>
      <c r="AT2" s="62"/>
      <c r="AU2" s="61" t="s">
        <v>63</v>
      </c>
      <c r="AV2" s="62"/>
      <c r="AW2" s="63" t="s">
        <v>64</v>
      </c>
      <c r="AX2" s="62"/>
      <c r="AY2" s="62"/>
      <c r="AZ2" s="61" t="s">
        <v>65</v>
      </c>
      <c r="BA2" s="62"/>
      <c r="BB2" s="63" t="s">
        <v>66</v>
      </c>
      <c r="BC2" s="62"/>
      <c r="BE2" s="67" t="s">
        <v>68</v>
      </c>
      <c r="BF2" s="69" t="s">
        <v>69</v>
      </c>
      <c r="BG2" s="67" t="s">
        <v>70</v>
      </c>
      <c r="BH2" s="69" t="s">
        <v>70</v>
      </c>
      <c r="BJ2" s="61" t="s">
        <v>0</v>
      </c>
      <c r="BK2" s="62"/>
      <c r="BL2" s="63" t="s">
        <v>1</v>
      </c>
      <c r="BM2" s="62"/>
      <c r="BN2" s="62"/>
      <c r="BP2" s="61" t="s">
        <v>2</v>
      </c>
      <c r="BQ2" s="62"/>
      <c r="BR2" s="63" t="s">
        <v>3</v>
      </c>
      <c r="BS2" s="62"/>
      <c r="BT2" s="62"/>
      <c r="BV2" s="64" t="s">
        <v>478</v>
      </c>
      <c r="BW2" s="64"/>
      <c r="BX2" s="64"/>
      <c r="BY2" s="64"/>
      <c r="BZ2" s="66" t="s">
        <v>481</v>
      </c>
      <c r="CA2" s="66"/>
      <c r="CB2" s="66"/>
      <c r="CC2" s="66"/>
      <c r="CD2" s="65" t="s">
        <v>484</v>
      </c>
      <c r="CE2" s="64"/>
      <c r="CF2" s="64"/>
    </row>
    <row r="3" spans="1:84" ht="14.25" thickBot="1" x14ac:dyDescent="0.2">
      <c r="A3" s="68"/>
      <c r="B3" s="68"/>
      <c r="C3" s="68"/>
      <c r="D3" s="68"/>
      <c r="E3" s="68"/>
      <c r="F3" s="68"/>
      <c r="G3" s="68"/>
      <c r="I3" s="68"/>
      <c r="J3" s="48" t="s">
        <v>15</v>
      </c>
      <c r="K3" s="48" t="s">
        <v>13</v>
      </c>
      <c r="L3" s="48" t="s">
        <v>71</v>
      </c>
      <c r="M3" s="48" t="s">
        <v>72</v>
      </c>
      <c r="N3" s="68"/>
      <c r="O3" s="68"/>
      <c r="P3" s="68"/>
      <c r="Q3" s="68"/>
      <c r="R3" s="68"/>
      <c r="S3" s="49" t="s">
        <v>15</v>
      </c>
      <c r="T3" s="49" t="s">
        <v>71</v>
      </c>
      <c r="U3" s="49" t="s">
        <v>73</v>
      </c>
      <c r="V3" s="49" t="s">
        <v>14</v>
      </c>
      <c r="W3" s="48" t="s">
        <v>4</v>
      </c>
      <c r="X3" s="48" t="s">
        <v>5</v>
      </c>
      <c r="Y3" s="49" t="s">
        <v>6</v>
      </c>
      <c r="Z3" s="49" t="s">
        <v>7</v>
      </c>
      <c r="AA3" s="49" t="s">
        <v>8</v>
      </c>
      <c r="AB3" s="48" t="s">
        <v>74</v>
      </c>
      <c r="AC3" s="48" t="s">
        <v>75</v>
      </c>
      <c r="AD3" s="49" t="s">
        <v>74</v>
      </c>
      <c r="AE3" s="49" t="s">
        <v>75</v>
      </c>
      <c r="AG3" s="68"/>
      <c r="AH3" s="49" t="s">
        <v>15</v>
      </c>
      <c r="AI3" s="49" t="s">
        <v>13</v>
      </c>
      <c r="AJ3" s="49" t="s">
        <v>71</v>
      </c>
      <c r="AK3" s="49" t="s">
        <v>72</v>
      </c>
      <c r="AL3" s="68"/>
      <c r="AM3" s="68"/>
      <c r="AN3" s="68"/>
      <c r="AO3" s="68"/>
      <c r="AP3" s="68"/>
      <c r="AQ3" s="48" t="s">
        <v>15</v>
      </c>
      <c r="AR3" s="48" t="s">
        <v>71</v>
      </c>
      <c r="AS3" s="48" t="s">
        <v>73</v>
      </c>
      <c r="AT3" s="48" t="s">
        <v>14</v>
      </c>
      <c r="AU3" s="49" t="s">
        <v>4</v>
      </c>
      <c r="AV3" s="49" t="s">
        <v>5</v>
      </c>
      <c r="AW3" s="48" t="s">
        <v>6</v>
      </c>
      <c r="AX3" s="48" t="s">
        <v>7</v>
      </c>
      <c r="AY3" s="48" t="s">
        <v>8</v>
      </c>
      <c r="AZ3" s="49" t="s">
        <v>74</v>
      </c>
      <c r="BA3" s="49" t="s">
        <v>75</v>
      </c>
      <c r="BB3" s="48" t="s">
        <v>74</v>
      </c>
      <c r="BC3" s="48" t="s">
        <v>75</v>
      </c>
      <c r="BE3" s="68"/>
      <c r="BF3" s="68"/>
      <c r="BG3" s="68"/>
      <c r="BH3" s="68"/>
      <c r="BJ3" s="49" t="s">
        <v>4</v>
      </c>
      <c r="BK3" s="49" t="s">
        <v>5</v>
      </c>
      <c r="BL3" s="48" t="s">
        <v>6</v>
      </c>
      <c r="BM3" s="48" t="s">
        <v>7</v>
      </c>
      <c r="BN3" s="48" t="s">
        <v>8</v>
      </c>
      <c r="BP3" s="49" t="s">
        <v>4</v>
      </c>
      <c r="BQ3" s="49" t="s">
        <v>5</v>
      </c>
      <c r="BR3" s="48" t="s">
        <v>6</v>
      </c>
      <c r="BS3" s="48" t="s">
        <v>7</v>
      </c>
      <c r="BT3" s="48" t="s">
        <v>8</v>
      </c>
      <c r="BV3" s="50" t="s">
        <v>71</v>
      </c>
      <c r="BW3" s="50" t="s">
        <v>479</v>
      </c>
      <c r="BX3" s="50" t="s">
        <v>480</v>
      </c>
      <c r="BY3" s="56" t="s">
        <v>487</v>
      </c>
      <c r="BZ3" s="53" t="s">
        <v>485</v>
      </c>
      <c r="CA3" s="50" t="s">
        <v>486</v>
      </c>
      <c r="CB3" s="50" t="s">
        <v>480</v>
      </c>
      <c r="CC3" s="56" t="s">
        <v>487</v>
      </c>
      <c r="CD3" s="50" t="s">
        <v>482</v>
      </c>
      <c r="CE3" s="50" t="s">
        <v>483</v>
      </c>
      <c r="CF3" s="50" t="s">
        <v>480</v>
      </c>
    </row>
    <row r="4" spans="1:84" ht="123" hidden="1" customHeight="1" thickBot="1" x14ac:dyDescent="0.2">
      <c r="A4" s="1" t="s">
        <v>76</v>
      </c>
      <c r="B4" s="2" t="s">
        <v>77</v>
      </c>
      <c r="C4" s="1" t="s">
        <v>78</v>
      </c>
      <c r="D4" s="2" t="s">
        <v>79</v>
      </c>
      <c r="E4" s="1" t="s">
        <v>80</v>
      </c>
      <c r="F4" s="2" t="s">
        <v>81</v>
      </c>
      <c r="G4" s="1" t="s">
        <v>82</v>
      </c>
      <c r="I4" s="2" t="s">
        <v>83</v>
      </c>
      <c r="J4" s="1" t="s">
        <v>84</v>
      </c>
      <c r="K4" s="1" t="s">
        <v>85</v>
      </c>
      <c r="L4" s="1" t="s">
        <v>86</v>
      </c>
      <c r="M4" s="1" t="s">
        <v>87</v>
      </c>
      <c r="N4" s="1" t="s">
        <v>88</v>
      </c>
      <c r="O4" s="2" t="s">
        <v>89</v>
      </c>
      <c r="P4" s="1" t="s">
        <v>90</v>
      </c>
      <c r="Q4" s="2" t="s">
        <v>91</v>
      </c>
      <c r="R4" s="1" t="s">
        <v>92</v>
      </c>
      <c r="S4" s="2" t="s">
        <v>93</v>
      </c>
      <c r="T4" s="2" t="s">
        <v>94</v>
      </c>
      <c r="U4" s="2" t="s">
        <v>95</v>
      </c>
      <c r="V4" s="2" t="s">
        <v>96</v>
      </c>
      <c r="W4" s="1" t="s">
        <v>97</v>
      </c>
      <c r="X4" s="1" t="s">
        <v>98</v>
      </c>
      <c r="Y4" s="2" t="s">
        <v>99</v>
      </c>
      <c r="Z4" s="2" t="s">
        <v>100</v>
      </c>
      <c r="AA4" s="2" t="s">
        <v>101</v>
      </c>
      <c r="AB4" s="1" t="s">
        <v>102</v>
      </c>
      <c r="AC4" s="1" t="s">
        <v>103</v>
      </c>
      <c r="AD4" s="2" t="s">
        <v>104</v>
      </c>
      <c r="AE4" s="2" t="s">
        <v>105</v>
      </c>
      <c r="AG4" s="1" t="s">
        <v>106</v>
      </c>
      <c r="AH4" s="2" t="s">
        <v>107</v>
      </c>
      <c r="AI4" s="2" t="s">
        <v>108</v>
      </c>
      <c r="AJ4" s="2" t="s">
        <v>109</v>
      </c>
      <c r="AK4" s="2" t="s">
        <v>110</v>
      </c>
      <c r="AL4" s="2" t="s">
        <v>111</v>
      </c>
      <c r="AM4" s="1" t="s">
        <v>112</v>
      </c>
      <c r="AN4" s="2" t="s">
        <v>113</v>
      </c>
      <c r="AO4" s="1" t="s">
        <v>114</v>
      </c>
      <c r="AP4" s="2" t="s">
        <v>115</v>
      </c>
      <c r="AQ4" s="1" t="s">
        <v>116</v>
      </c>
      <c r="AR4" s="1" t="s">
        <v>117</v>
      </c>
      <c r="AS4" s="1" t="s">
        <v>118</v>
      </c>
      <c r="AT4" s="1" t="s">
        <v>119</v>
      </c>
      <c r="AU4" s="2" t="s">
        <v>120</v>
      </c>
      <c r="AV4" s="2" t="s">
        <v>121</v>
      </c>
      <c r="AW4" s="1" t="s">
        <v>122</v>
      </c>
      <c r="AX4" s="1" t="s">
        <v>123</v>
      </c>
      <c r="AY4" s="1" t="s">
        <v>124</v>
      </c>
      <c r="AZ4" s="2" t="s">
        <v>125</v>
      </c>
      <c r="BA4" s="2" t="s">
        <v>126</v>
      </c>
      <c r="BB4" s="1" t="s">
        <v>127</v>
      </c>
      <c r="BC4" s="1" t="s">
        <v>128</v>
      </c>
      <c r="BE4" s="2" t="s">
        <v>129</v>
      </c>
      <c r="BF4" s="1" t="s">
        <v>130</v>
      </c>
      <c r="BG4" s="2" t="s">
        <v>131</v>
      </c>
      <c r="BH4" s="1" t="s">
        <v>132</v>
      </c>
      <c r="BJ4" s="2" t="s">
        <v>133</v>
      </c>
      <c r="BK4" s="2" t="s">
        <v>134</v>
      </c>
      <c r="BL4" s="1" t="s">
        <v>135</v>
      </c>
      <c r="BM4" s="1" t="s">
        <v>136</v>
      </c>
      <c r="BN4" s="1" t="s">
        <v>137</v>
      </c>
      <c r="BP4" s="2" t="s">
        <v>138</v>
      </c>
      <c r="BQ4" s="2" t="s">
        <v>139</v>
      </c>
      <c r="BR4" s="1" t="s">
        <v>140</v>
      </c>
      <c r="BS4" s="1" t="s">
        <v>141</v>
      </c>
      <c r="BT4" s="1" t="s">
        <v>142</v>
      </c>
      <c r="BZ4" s="54"/>
      <c r="CC4" s="57"/>
    </row>
    <row r="5" spans="1:84" x14ac:dyDescent="0.15">
      <c r="A5" s="46" t="s">
        <v>143</v>
      </c>
      <c r="B5" s="46" t="s">
        <v>17</v>
      </c>
      <c r="C5" s="3" t="s">
        <v>144</v>
      </c>
      <c r="D5" s="46">
        <v>238146391</v>
      </c>
      <c r="E5" s="3">
        <v>10</v>
      </c>
      <c r="F5" s="3">
        <v>32</v>
      </c>
      <c r="G5" s="3">
        <v>30</v>
      </c>
      <c r="I5" s="4">
        <f t="shared" ref="I5:I39" si="0">IF(OR(ISBLANK(S5),ISBLANK(G5)),"·",S5*G5/F5/1000000)</f>
        <v>2.1789900000000002</v>
      </c>
      <c r="J5" s="5">
        <f t="shared" ref="J5:J39" si="1">IF(ISBLANK(S5),"·",S5/D5)</f>
        <v>9.7597783877396652E-3</v>
      </c>
      <c r="K5" s="5">
        <f t="shared" ref="K5:K39" si="2">IF(N5="","·",N5/D5)</f>
        <v>6.1712629522905514E-3</v>
      </c>
      <c r="L5" s="5">
        <f t="shared" ref="L5:L39" si="3">IF(T5="","·",T5/D5)</f>
        <v>3.5270742356116581E-3</v>
      </c>
      <c r="M5" s="5">
        <f t="shared" ref="M5:M39" si="4">IF(ISBLANK(V5),"·",V5/D5)</f>
        <v>3.5885154354491143E-3</v>
      </c>
      <c r="N5" s="46">
        <f t="shared" ref="N5:N39" si="5">IF(OR(ISBLANK(T5),ISBLANK(U5)),"",T5+U5)</f>
        <v>1469664</v>
      </c>
      <c r="O5" s="5">
        <v>-12</v>
      </c>
      <c r="P5" s="6">
        <v>21771728</v>
      </c>
      <c r="Q5" s="6">
        <v>680366.5</v>
      </c>
      <c r="R5" s="6">
        <v>13458.65625</v>
      </c>
      <c r="S5" s="7">
        <v>2324256</v>
      </c>
      <c r="T5" s="7">
        <v>839960</v>
      </c>
      <c r="U5" s="7">
        <v>629704</v>
      </c>
      <c r="V5" s="7">
        <v>854592</v>
      </c>
      <c r="W5" s="8">
        <v>66.355962500000004</v>
      </c>
      <c r="X5" s="8">
        <v>68.483328125</v>
      </c>
      <c r="Y5" s="8">
        <v>32.113043750000003</v>
      </c>
      <c r="Z5" s="8">
        <v>44.188546875</v>
      </c>
      <c r="AA5" s="8">
        <v>43.811181249999898</v>
      </c>
      <c r="AB5" s="9">
        <v>431.88900000000001</v>
      </c>
      <c r="AC5" s="9">
        <v>404.07100000000003</v>
      </c>
      <c r="AD5" s="9">
        <v>1435.05</v>
      </c>
      <c r="AE5" s="9">
        <v>9.9529999999999994</v>
      </c>
      <c r="AG5" s="4">
        <f t="shared" ref="AG5:AG39" si="6">IF(OR(ISBLANK(AQ5),ISBLANK(G5)),"·",AQ5*G5/F5/1000000)</f>
        <v>2.1898200000000001</v>
      </c>
      <c r="AH5" s="5">
        <f t="shared" ref="AH5:AH39" si="7">IF(ISBLANK(AQ5),"·",AQ5/D5)</f>
        <v>9.8082863661788609E-3</v>
      </c>
      <c r="AI5" s="5">
        <f t="shared" ref="AI5:AI39" si="8">IF(AL5="","·",AL5/D5)</f>
        <v>6.2098946525710732E-3</v>
      </c>
      <c r="AJ5" s="5">
        <f t="shared" ref="AJ5:AJ39" si="9">IF(AR5="","·",AR5/D5)</f>
        <v>3.5657059358921799E-3</v>
      </c>
      <c r="AK5" s="5">
        <f t="shared" ref="AK5:AK39" si="10">IF(ISBLANK(AT5),"·",AT5/D5)</f>
        <v>3.5983917136077868E-3</v>
      </c>
      <c r="AL5" s="46">
        <f t="shared" ref="AL5:AL39" si="11">IF(OR(ISBLANK(AR5),ISBLANK(AS5)),"",AR5+AS5)</f>
        <v>1478864</v>
      </c>
      <c r="AM5" s="5">
        <v>-12</v>
      </c>
      <c r="AN5" s="6"/>
      <c r="AO5" s="6"/>
      <c r="AP5" s="6"/>
      <c r="AQ5" s="7">
        <v>2335808</v>
      </c>
      <c r="AR5" s="7">
        <v>849160</v>
      </c>
      <c r="AS5" s="7">
        <v>629704</v>
      </c>
      <c r="AT5" s="7">
        <v>856944</v>
      </c>
      <c r="AU5" s="8">
        <v>66.343421875000004</v>
      </c>
      <c r="AV5" s="8">
        <v>68.448040624999905</v>
      </c>
      <c r="AW5" s="8">
        <v>32.096837499999999</v>
      </c>
      <c r="AX5" s="8">
        <v>44.188728124999997</v>
      </c>
      <c r="AY5" s="8">
        <v>43.805081250000001</v>
      </c>
      <c r="AZ5" s="9">
        <v>96.19</v>
      </c>
      <c r="BA5" s="9">
        <v>81.361000000000004</v>
      </c>
      <c r="BB5" s="9">
        <v>778.20299999999997</v>
      </c>
      <c r="BC5" s="9">
        <v>9.7959999999999994</v>
      </c>
      <c r="BE5" s="44">
        <f t="shared" ref="BE5:BE43" si="12">AI5/K5</f>
        <v>1.0062599342434733</v>
      </c>
      <c r="BF5" s="10" t="e">
        <f t="shared" ref="BF5:BF39" si="13">(AP5/AO5) - (R5/Q5)</f>
        <v>#DIV/0!</v>
      </c>
      <c r="BG5" s="10">
        <f t="shared" ref="BG5:BG39" si="14">(AL5/AQ5) - (N5/S5)</f>
        <v>8.1149086090237521E-4</v>
      </c>
      <c r="BH5" s="10">
        <f t="array" ref="BH5">AVERAGE(AL5:AL9/AQ5:AQ9) - AVERAGE(N5:N9/S5:S9)</f>
        <v>2.3615687447564038E-3</v>
      </c>
      <c r="BJ5" s="44">
        <f>IF( OR(ISBLANK(N5:N9),ISBLANK(AL5:AL9), ISBLANK(W5:W9),ISBLANK(AU5:AU9)), "·", bdRateExtend( N5:N9,W5:W9, AL5:AL9,AU5:AU9))</f>
        <v>1.3439515273508507E-2</v>
      </c>
      <c r="BK5" s="44">
        <f>IF( OR(ISBLANK(N5:N9),ISBLANK(AL5:AL9), ISBLANK(X5:X9),ISBLANK(AV5:AV9)), "·", bdRateExtend( N5:N9,X5:X9, AL5:AL9,AV5:AV9))</f>
        <v>1.5215075939766898E-2</v>
      </c>
      <c r="BL5" s="44">
        <f>IF( OR(ISBLANK(V5:V9),ISBLANK(AT5:AT9), ISBLANK(Y5:Y9),ISBLANK(AW5:AW9)), "·", bdRateExtend( V5:V9,Y5:Y9, AT5:AT9,AW5:AW9))</f>
        <v>1.450444613605395E-2</v>
      </c>
      <c r="BM5" s="44">
        <f>IF( OR(ISBLANK(V5:V9),ISBLANK(AT5:AT9), ISBLANK(Z5:Z9),ISBLANK(AX5:AX9)), "·", bdRateExtend( V5:V9,Z5:Z9, AT5:AT9,AX5:AX9))</f>
        <v>-1.312351247130028E-2</v>
      </c>
      <c r="BN5" s="44">
        <f>IF( OR(ISBLANK(V5:V9),ISBLANK(AT5:AT9), ISBLANK(AA5:AA9),ISBLANK(AY5:AY9)), "·", bdRateExtend( V5:V9,AA5:AA9, AT5:AT9,AY5:AY9))</f>
        <v>-1.6934551824647759E-2</v>
      </c>
      <c r="BP5" s="44">
        <f>IF( OR(ISBLANK(S5:S9),ISBLANK(AQ5:AQ9), ISBLANK(W5:W9),ISBLANK(AU5:AU9)), "·", bdRateExtend( S5:S9,W5:W9, AQ5:AQ9,AU5:AU9))</f>
        <v>8.5149607360122115E-3</v>
      </c>
      <c r="BQ5" s="44">
        <f>IF( OR(ISBLANK(S5:S9),ISBLANK(AQ5:AQ9), ISBLANK(X5:X9),ISBLANK(AV5:AV9)), "·", bdRateExtend( S5:S9,X5:X9, AQ5:AQ9,AV5:AV9))</f>
        <v>1.1378702348253666E-2</v>
      </c>
      <c r="BR5" s="44">
        <f>IF( OR(ISBLANK(S5:S9),ISBLANK(AQ5:AQ9), ISBLANK(Y5:Y9),ISBLANK(AW5:AW9)), "·", bdRateExtend( S5:S9,Y5:Y9, AQ5:AQ9,AW5:AW9))</f>
        <v>1.619052944625321E-2</v>
      </c>
      <c r="BS5" s="44">
        <f>IF( OR(ISBLANK(S5:S9),ISBLANK(AQ5:AQ9), ISBLANK(Z5:Z9),ISBLANK(AX5:AX9)), "·", bdRateExtend( S5:S9,Z5:Z9, AQ5:AQ9,AX5:AX9))</f>
        <v>-6.451758640950267E-3</v>
      </c>
      <c r="BT5" s="44">
        <f>IF( OR(ISBLANK(S5:S9),ISBLANK(AQ5:AQ9), ISBLANK(AA5:AA9),ISBLANK(AY5:AY9)), "·", bdRateExtend( S5:S9,AA5:AA9, AQ5:AQ9,AY5:AY9))</f>
        <v>-9.7587959220535314E-3</v>
      </c>
      <c r="BV5" s="51">
        <f t="shared" ref="BV5:BX20" si="15">(AB5-AZ5)/AB5</f>
        <v>0.7772807364855322</v>
      </c>
      <c r="BW5" s="51">
        <f t="shared" si="15"/>
        <v>0.79864677247315452</v>
      </c>
      <c r="BX5" s="51">
        <f t="shared" si="15"/>
        <v>0.45771715271244906</v>
      </c>
      <c r="BY5" s="51">
        <f>AVERAGE(BV5:BW5)</f>
        <v>0.78796375447934341</v>
      </c>
      <c r="BZ5" s="55"/>
      <c r="CA5" s="51"/>
      <c r="CC5" s="57"/>
    </row>
    <row r="6" spans="1:84" outlineLevel="1" x14ac:dyDescent="0.15">
      <c r="A6" s="11"/>
      <c r="B6" s="11" t="s">
        <v>17</v>
      </c>
      <c r="C6" s="12" t="s">
        <v>145</v>
      </c>
      <c r="D6" s="11">
        <v>238146391</v>
      </c>
      <c r="E6" s="12">
        <v>10</v>
      </c>
      <c r="F6" s="12">
        <v>32</v>
      </c>
      <c r="G6" s="12">
        <v>30</v>
      </c>
      <c r="I6" s="13">
        <f t="shared" si="0"/>
        <v>3.388665</v>
      </c>
      <c r="J6" s="14">
        <f t="shared" si="1"/>
        <v>1.5177958334040006E-2</v>
      </c>
      <c r="K6" s="14">
        <f t="shared" si="2"/>
        <v>7.5204498900006429E-3</v>
      </c>
      <c r="L6" s="14">
        <f t="shared" si="3"/>
        <v>4.8762611733217491E-3</v>
      </c>
      <c r="M6" s="14">
        <f t="shared" si="4"/>
        <v>7.6575084440393638E-3</v>
      </c>
      <c r="N6" s="11">
        <f t="shared" si="5"/>
        <v>1790968</v>
      </c>
      <c r="O6" s="14">
        <v>-12</v>
      </c>
      <c r="P6" s="15">
        <v>24147688</v>
      </c>
      <c r="Q6" s="15">
        <v>754615.25</v>
      </c>
      <c r="R6" s="15">
        <v>19012.03125</v>
      </c>
      <c r="S6" s="16">
        <v>3614576</v>
      </c>
      <c r="T6" s="16">
        <v>1161264</v>
      </c>
      <c r="U6" s="16">
        <v>629704</v>
      </c>
      <c r="V6" s="16">
        <v>1823608</v>
      </c>
      <c r="W6" s="17">
        <v>68.241949999999903</v>
      </c>
      <c r="X6" s="17">
        <v>70.429959374999996</v>
      </c>
      <c r="Y6" s="17">
        <v>34.357659374999997</v>
      </c>
      <c r="Z6" s="17">
        <v>45.4717531249999</v>
      </c>
      <c r="AA6" s="17">
        <v>45.224109374999998</v>
      </c>
      <c r="AB6" s="18">
        <v>463.45600000000002</v>
      </c>
      <c r="AC6" s="18">
        <v>410.53100000000001</v>
      </c>
      <c r="AD6" s="18">
        <v>1478.13</v>
      </c>
      <c r="AE6" s="18">
        <v>9.859</v>
      </c>
      <c r="AG6" s="13">
        <f t="shared" si="6"/>
        <v>3.4090050000000001</v>
      </c>
      <c r="AH6" s="14">
        <f t="shared" si="7"/>
        <v>1.5269061961136332E-2</v>
      </c>
      <c r="AI6" s="14">
        <f t="shared" si="8"/>
        <v>7.5920697030424453E-3</v>
      </c>
      <c r="AJ6" s="14">
        <f t="shared" si="9"/>
        <v>4.9478809863635516E-3</v>
      </c>
      <c r="AK6" s="14">
        <f t="shared" si="10"/>
        <v>7.6769922580938879E-3</v>
      </c>
      <c r="AL6" s="11">
        <f t="shared" si="11"/>
        <v>1808024</v>
      </c>
      <c r="AM6" s="14">
        <v>-12</v>
      </c>
      <c r="AN6" s="15"/>
      <c r="AO6" s="15"/>
      <c r="AP6" s="15"/>
      <c r="AQ6" s="16">
        <v>3636272</v>
      </c>
      <c r="AR6" s="16">
        <v>1178320</v>
      </c>
      <c r="AS6" s="16">
        <v>629704</v>
      </c>
      <c r="AT6" s="16">
        <v>1828248</v>
      </c>
      <c r="AU6" s="17">
        <v>68.223612499999902</v>
      </c>
      <c r="AV6" s="17">
        <v>70.3881656249999</v>
      </c>
      <c r="AW6" s="17">
        <v>34.325740625000002</v>
      </c>
      <c r="AX6" s="17">
        <v>45.499431250000001</v>
      </c>
      <c r="AY6" s="17">
        <v>45.250796874999899</v>
      </c>
      <c r="AZ6" s="18">
        <v>110.846</v>
      </c>
      <c r="BA6" s="18">
        <v>87.575000000000003</v>
      </c>
      <c r="BB6" s="18">
        <v>800.65599999999995</v>
      </c>
      <c r="BC6" s="18">
        <v>9.9209999999999994</v>
      </c>
      <c r="BE6" s="43">
        <f t="shared" si="12"/>
        <v>1.0095233415672418</v>
      </c>
      <c r="BF6" s="19" t="e">
        <f t="shared" si="13"/>
        <v>#DIV/0!</v>
      </c>
      <c r="BG6" s="19">
        <f t="shared" si="14"/>
        <v>1.7341823099612519E-3</v>
      </c>
      <c r="BH6" s="19"/>
      <c r="BJ6" s="43"/>
      <c r="BK6" s="43"/>
      <c r="BL6" s="43"/>
      <c r="BM6" s="43"/>
      <c r="BN6" s="43"/>
      <c r="BP6" s="43"/>
      <c r="BQ6" s="43"/>
      <c r="BR6" s="43"/>
      <c r="BS6" s="43"/>
      <c r="BT6" s="43"/>
      <c r="BV6" s="51">
        <f t="shared" si="15"/>
        <v>0.76082734930608298</v>
      </c>
      <c r="BW6" s="51">
        <f t="shared" si="15"/>
        <v>0.78667871610182916</v>
      </c>
      <c r="BX6" s="51">
        <f t="shared" si="15"/>
        <v>0.45833181113975097</v>
      </c>
      <c r="BY6" s="51">
        <f t="shared" ref="BY6:BY39" si="16">AVERAGE(BV6:BW6)</f>
        <v>0.77375303270395612</v>
      </c>
      <c r="BZ6" s="55"/>
      <c r="CA6" s="51"/>
      <c r="CC6" s="57"/>
    </row>
    <row r="7" spans="1:84" outlineLevel="1" x14ac:dyDescent="0.15">
      <c r="A7" s="46"/>
      <c r="B7" s="46" t="s">
        <v>17</v>
      </c>
      <c r="C7" s="3" t="s">
        <v>146</v>
      </c>
      <c r="D7" s="46">
        <v>238146391</v>
      </c>
      <c r="E7" s="3">
        <v>10</v>
      </c>
      <c r="F7" s="3">
        <v>32</v>
      </c>
      <c r="G7" s="3">
        <v>30</v>
      </c>
      <c r="I7" s="4">
        <f t="shared" si="0"/>
        <v>5.5621875000000003</v>
      </c>
      <c r="J7" s="5">
        <f t="shared" si="1"/>
        <v>2.4913247583080108E-2</v>
      </c>
      <c r="K7" s="5">
        <f t="shared" si="2"/>
        <v>9.4649681254250044E-3</v>
      </c>
      <c r="L7" s="5">
        <f t="shared" si="3"/>
        <v>6.8207794087461106E-3</v>
      </c>
      <c r="M7" s="5">
        <f t="shared" si="4"/>
        <v>1.5448279457655102E-2</v>
      </c>
      <c r="N7" s="46">
        <f t="shared" si="5"/>
        <v>2254048</v>
      </c>
      <c r="O7" s="5">
        <v>-12</v>
      </c>
      <c r="P7" s="6">
        <v>24798303</v>
      </c>
      <c r="Q7" s="6">
        <v>774946.96875</v>
      </c>
      <c r="R7" s="6">
        <v>20946</v>
      </c>
      <c r="S7" s="7">
        <v>5933000</v>
      </c>
      <c r="T7" s="7">
        <v>1624344</v>
      </c>
      <c r="U7" s="7">
        <v>629704</v>
      </c>
      <c r="V7" s="7">
        <v>3678952</v>
      </c>
      <c r="W7" s="8">
        <v>69.679040624999999</v>
      </c>
      <c r="X7" s="8">
        <v>72.1286249999999</v>
      </c>
      <c r="Y7" s="8">
        <v>36.89405</v>
      </c>
      <c r="Z7" s="8">
        <v>46.603406249999999</v>
      </c>
      <c r="AA7" s="8">
        <v>46.480725</v>
      </c>
      <c r="AB7" s="9">
        <v>494.35500000000002</v>
      </c>
      <c r="AC7" s="9">
        <v>423.44600000000003</v>
      </c>
      <c r="AD7" s="9">
        <v>1530.16</v>
      </c>
      <c r="AE7" s="9">
        <v>9.7650000000000006</v>
      </c>
      <c r="AG7" s="4">
        <f t="shared" si="6"/>
        <v>5.5772250000000003</v>
      </c>
      <c r="AH7" s="5">
        <f t="shared" si="7"/>
        <v>2.4980601112699626E-2</v>
      </c>
      <c r="AI7" s="5">
        <f t="shared" si="8"/>
        <v>9.5397456600549539E-3</v>
      </c>
      <c r="AJ7" s="5">
        <f t="shared" si="9"/>
        <v>6.8955569433760602E-3</v>
      </c>
      <c r="AK7" s="5">
        <f t="shared" si="10"/>
        <v>1.5440855452644672E-2</v>
      </c>
      <c r="AL7" s="46">
        <f t="shared" si="11"/>
        <v>2271856</v>
      </c>
      <c r="AM7" s="5">
        <v>-12</v>
      </c>
      <c r="AN7" s="6"/>
      <c r="AO7" s="6"/>
      <c r="AP7" s="6"/>
      <c r="AQ7" s="7">
        <v>5949040</v>
      </c>
      <c r="AR7" s="7">
        <v>1642152</v>
      </c>
      <c r="AS7" s="7">
        <v>629704</v>
      </c>
      <c r="AT7" s="7">
        <v>3677184</v>
      </c>
      <c r="AU7" s="8">
        <v>69.670046874999997</v>
      </c>
      <c r="AV7" s="8">
        <v>72.087253124999904</v>
      </c>
      <c r="AW7" s="8">
        <v>36.855634375000001</v>
      </c>
      <c r="AX7" s="8">
        <v>46.604112499999999</v>
      </c>
      <c r="AY7" s="8">
        <v>46.50563125</v>
      </c>
      <c r="AZ7" s="9">
        <v>122.452</v>
      </c>
      <c r="BA7" s="9">
        <v>108.61799999999999</v>
      </c>
      <c r="BB7" s="9">
        <v>833.04600000000005</v>
      </c>
      <c r="BC7" s="9">
        <v>9.7959999999999994</v>
      </c>
      <c r="BE7" s="44">
        <f t="shared" si="12"/>
        <v>1.007900452874118</v>
      </c>
      <c r="BF7" s="10" t="e">
        <f t="shared" si="13"/>
        <v>#DIV/0!</v>
      </c>
      <c r="BG7" s="10">
        <f t="shared" si="14"/>
        <v>1.9690790670685576E-3</v>
      </c>
      <c r="BH7" s="10"/>
      <c r="BJ7" s="44"/>
      <c r="BK7" s="44"/>
      <c r="BL7" s="44"/>
      <c r="BM7" s="44"/>
      <c r="BN7" s="44"/>
      <c r="BP7" s="44"/>
      <c r="BQ7" s="44"/>
      <c r="BR7" s="44"/>
      <c r="BS7" s="44"/>
      <c r="BT7" s="44"/>
      <c r="BV7" s="51">
        <f t="shared" si="15"/>
        <v>0.75229946091371591</v>
      </c>
      <c r="BW7" s="51">
        <f t="shared" si="15"/>
        <v>0.74349031517596109</v>
      </c>
      <c r="BX7" s="51">
        <f t="shared" si="15"/>
        <v>0.45558242275317612</v>
      </c>
      <c r="BY7" s="51">
        <f t="shared" si="16"/>
        <v>0.7478948880448385</v>
      </c>
      <c r="BZ7" s="55"/>
      <c r="CA7" s="51"/>
      <c r="CC7" s="57"/>
    </row>
    <row r="8" spans="1:84" outlineLevel="1" x14ac:dyDescent="0.15">
      <c r="A8" s="11"/>
      <c r="B8" s="11" t="s">
        <v>17</v>
      </c>
      <c r="C8" s="12" t="s">
        <v>147</v>
      </c>
      <c r="D8" s="11">
        <v>238146391</v>
      </c>
      <c r="E8" s="12">
        <v>10</v>
      </c>
      <c r="F8" s="12">
        <v>32</v>
      </c>
      <c r="G8" s="12">
        <v>30</v>
      </c>
      <c r="I8" s="13">
        <f t="shared" si="0"/>
        <v>9.4267649999999996</v>
      </c>
      <c r="J8" s="14">
        <f t="shared" si="1"/>
        <v>4.2222835953033611E-2</v>
      </c>
      <c r="K8" s="14">
        <f t="shared" si="2"/>
        <v>1.2729682726957639E-2</v>
      </c>
      <c r="L8" s="14">
        <f t="shared" si="3"/>
        <v>1.0085494010278745E-2</v>
      </c>
      <c r="M8" s="14">
        <f t="shared" si="4"/>
        <v>2.9493153226075972E-2</v>
      </c>
      <c r="N8" s="11">
        <f t="shared" si="5"/>
        <v>3031528</v>
      </c>
      <c r="O8" s="14">
        <v>-12</v>
      </c>
      <c r="P8" s="15">
        <v>25806958</v>
      </c>
      <c r="Q8" s="15">
        <v>806467.4375</v>
      </c>
      <c r="R8" s="15">
        <v>24305.84375</v>
      </c>
      <c r="S8" s="16">
        <v>10055216</v>
      </c>
      <c r="T8" s="16">
        <v>2401824</v>
      </c>
      <c r="U8" s="16">
        <v>629704</v>
      </c>
      <c r="V8" s="16">
        <v>7023688</v>
      </c>
      <c r="W8" s="17">
        <v>70.829490625000005</v>
      </c>
      <c r="X8" s="17">
        <v>73.399412499999997</v>
      </c>
      <c r="Y8" s="17">
        <v>39.521596875</v>
      </c>
      <c r="Z8" s="17">
        <v>47.923753124999998</v>
      </c>
      <c r="AA8" s="17">
        <v>47.9429374999999</v>
      </c>
      <c r="AB8" s="18">
        <v>535.47900000000004</v>
      </c>
      <c r="AC8" s="18">
        <v>446.67</v>
      </c>
      <c r="AD8" s="18">
        <v>1586.61</v>
      </c>
      <c r="AE8" s="18">
        <v>9.875</v>
      </c>
      <c r="AG8" s="13">
        <f t="shared" si="6"/>
        <v>9.4369350000000001</v>
      </c>
      <c r="AH8" s="14">
        <f t="shared" si="7"/>
        <v>4.2268387766581775E-2</v>
      </c>
      <c r="AI8" s="14">
        <f t="shared" si="8"/>
        <v>1.2955627784424413E-2</v>
      </c>
      <c r="AJ8" s="14">
        <f t="shared" si="9"/>
        <v>1.031143906774552E-2</v>
      </c>
      <c r="AK8" s="14">
        <f t="shared" si="10"/>
        <v>2.931275998215736E-2</v>
      </c>
      <c r="AL8" s="11">
        <f t="shared" si="11"/>
        <v>3085336</v>
      </c>
      <c r="AM8" s="14">
        <v>-12</v>
      </c>
      <c r="AN8" s="15"/>
      <c r="AO8" s="15"/>
      <c r="AP8" s="15"/>
      <c r="AQ8" s="16">
        <v>10066064</v>
      </c>
      <c r="AR8" s="16">
        <v>2455632</v>
      </c>
      <c r="AS8" s="16">
        <v>629704</v>
      </c>
      <c r="AT8" s="16">
        <v>6980728</v>
      </c>
      <c r="AU8" s="17">
        <v>70.819037499999993</v>
      </c>
      <c r="AV8" s="17">
        <v>73.383315624999994</v>
      </c>
      <c r="AW8" s="17">
        <v>39.417840624999897</v>
      </c>
      <c r="AX8" s="17">
        <v>47.956474999999998</v>
      </c>
      <c r="AY8" s="17">
        <v>47.999181249999999</v>
      </c>
      <c r="AZ8" s="18">
        <v>140.125</v>
      </c>
      <c r="BA8" s="18">
        <v>125.29300000000001</v>
      </c>
      <c r="BB8" s="18">
        <v>873.04600000000005</v>
      </c>
      <c r="BC8" s="18">
        <v>9.7650000000000006</v>
      </c>
      <c r="BE8" s="43">
        <f t="shared" si="12"/>
        <v>1.0177494649562859</v>
      </c>
      <c r="BF8" s="19" t="e">
        <f t="shared" si="13"/>
        <v>#DIV/0!</v>
      </c>
      <c r="BG8" s="19">
        <f t="shared" si="14"/>
        <v>5.0205777606344149E-3</v>
      </c>
      <c r="BH8" s="19"/>
      <c r="BJ8" s="43"/>
      <c r="BK8" s="43"/>
      <c r="BL8" s="43"/>
      <c r="BM8" s="43"/>
      <c r="BN8" s="43"/>
      <c r="BP8" s="43"/>
      <c r="BQ8" s="43"/>
      <c r="BR8" s="43"/>
      <c r="BS8" s="43"/>
      <c r="BT8" s="43"/>
      <c r="BV8" s="51">
        <f t="shared" si="15"/>
        <v>0.73831840277583249</v>
      </c>
      <c r="BW8" s="51">
        <f t="shared" si="15"/>
        <v>0.7194953769001724</v>
      </c>
      <c r="BX8" s="51">
        <f t="shared" si="15"/>
        <v>0.44974127227232896</v>
      </c>
      <c r="BY8" s="51">
        <f t="shared" si="16"/>
        <v>0.72890688983800245</v>
      </c>
      <c r="BZ8" s="55"/>
      <c r="CA8" s="51"/>
      <c r="CC8" s="57"/>
    </row>
    <row r="9" spans="1:84" ht="14.25" outlineLevel="1" thickBot="1" x14ac:dyDescent="0.2">
      <c r="A9" s="46"/>
      <c r="B9" s="20" t="s">
        <v>17</v>
      </c>
      <c r="C9" s="21" t="s">
        <v>148</v>
      </c>
      <c r="D9" s="20">
        <v>238146391</v>
      </c>
      <c r="E9" s="21">
        <v>10</v>
      </c>
      <c r="F9" s="21">
        <v>32</v>
      </c>
      <c r="G9" s="21">
        <v>30</v>
      </c>
      <c r="I9" s="22">
        <f t="shared" si="0"/>
        <v>16.8055275</v>
      </c>
      <c r="J9" s="23">
        <f t="shared" si="1"/>
        <v>7.5272591470848707E-2</v>
      </c>
      <c r="K9" s="23">
        <f t="shared" si="2"/>
        <v>2.0658352114183414E-2</v>
      </c>
      <c r="L9" s="23">
        <f t="shared" si="3"/>
        <v>1.5548050022727408E-2</v>
      </c>
      <c r="M9" s="23">
        <f t="shared" si="4"/>
        <v>5.461423935666529E-2</v>
      </c>
      <c r="N9" s="20">
        <f t="shared" si="5"/>
        <v>4919712</v>
      </c>
      <c r="O9" s="23">
        <v>-12</v>
      </c>
      <c r="P9" s="24">
        <v>24863702</v>
      </c>
      <c r="Q9" s="24">
        <v>776990.6875</v>
      </c>
      <c r="R9" s="24">
        <v>10657.0625</v>
      </c>
      <c r="S9" s="25">
        <v>17925896</v>
      </c>
      <c r="T9" s="25">
        <v>3702712</v>
      </c>
      <c r="U9" s="25">
        <v>1217000</v>
      </c>
      <c r="V9" s="25">
        <v>13006184</v>
      </c>
      <c r="W9" s="26">
        <v>71.945081250000001</v>
      </c>
      <c r="X9" s="26">
        <v>75.324081250000006</v>
      </c>
      <c r="Y9" s="26">
        <v>42.094303124999897</v>
      </c>
      <c r="Z9" s="26">
        <v>49.4176312499999</v>
      </c>
      <c r="AA9" s="26">
        <v>49.554403125</v>
      </c>
      <c r="AB9" s="27">
        <v>570.01099999999997</v>
      </c>
      <c r="AC9" s="27">
        <v>493.15699999999998</v>
      </c>
      <c r="AD9" s="27">
        <v>1681.13</v>
      </c>
      <c r="AE9" s="27">
        <v>9.859</v>
      </c>
      <c r="AG9" s="22">
        <f t="shared" si="6"/>
        <v>16.7038875</v>
      </c>
      <c r="AH9" s="23">
        <f t="shared" si="7"/>
        <v>7.4817342077629884E-2</v>
      </c>
      <c r="AI9" s="23">
        <f t="shared" si="8"/>
        <v>2.0703433628771639E-2</v>
      </c>
      <c r="AJ9" s="23">
        <f t="shared" si="9"/>
        <v>1.5593131537315634E-2</v>
      </c>
      <c r="AK9" s="23">
        <f t="shared" si="10"/>
        <v>5.4113908448858251E-2</v>
      </c>
      <c r="AL9" s="20">
        <f t="shared" si="11"/>
        <v>4930448</v>
      </c>
      <c r="AM9" s="23">
        <v>-12</v>
      </c>
      <c r="AN9" s="24"/>
      <c r="AO9" s="24"/>
      <c r="AP9" s="24"/>
      <c r="AQ9" s="25">
        <v>17817480</v>
      </c>
      <c r="AR9" s="25">
        <v>3713448</v>
      </c>
      <c r="AS9" s="25">
        <v>1217000</v>
      </c>
      <c r="AT9" s="25">
        <v>12887032</v>
      </c>
      <c r="AU9" s="26">
        <v>71.916971875000002</v>
      </c>
      <c r="AV9" s="26">
        <v>75.311240624999897</v>
      </c>
      <c r="AW9" s="26">
        <v>41.955184374999902</v>
      </c>
      <c r="AX9" s="26">
        <v>49.458828124999997</v>
      </c>
      <c r="AY9" s="26">
        <v>49.591731250000002</v>
      </c>
      <c r="AZ9" s="27">
        <v>171.87100000000001</v>
      </c>
      <c r="BA9" s="27">
        <v>177.52099999999999</v>
      </c>
      <c r="BB9" s="27">
        <v>971.28099999999995</v>
      </c>
      <c r="BC9" s="27">
        <v>9.8119999999999994</v>
      </c>
      <c r="BE9" s="28">
        <f t="shared" si="12"/>
        <v>1.0021822415621076</v>
      </c>
      <c r="BF9" s="29" t="e">
        <f t="shared" si="13"/>
        <v>#DIV/0!</v>
      </c>
      <c r="BG9" s="29">
        <f t="shared" si="14"/>
        <v>2.2725137252152527E-3</v>
      </c>
      <c r="BH9" s="29"/>
      <c r="BJ9" s="28"/>
      <c r="BK9" s="28"/>
      <c r="BL9" s="28"/>
      <c r="BM9" s="28"/>
      <c r="BN9" s="28"/>
      <c r="BP9" s="28"/>
      <c r="BQ9" s="28"/>
      <c r="BR9" s="28"/>
      <c r="BS9" s="28"/>
      <c r="BT9" s="28"/>
      <c r="BV9" s="51">
        <f t="shared" si="15"/>
        <v>0.69847774867502554</v>
      </c>
      <c r="BW9" s="51">
        <f t="shared" si="15"/>
        <v>0.64003147070811117</v>
      </c>
      <c r="BX9" s="51">
        <f t="shared" si="15"/>
        <v>0.4222451565316187</v>
      </c>
      <c r="BY9" s="51">
        <f t="shared" si="16"/>
        <v>0.66925460969156836</v>
      </c>
      <c r="BZ9" s="55">
        <f>AVERAGE(BV5:BV9)</f>
        <v>0.7454407396312378</v>
      </c>
      <c r="CA9" s="51">
        <f>AVERAGE(BW5:BW9)</f>
        <v>0.73766853027184565</v>
      </c>
      <c r="CB9" s="51">
        <f>AVERAGE(BX5:BX9)</f>
        <v>0.44872356308186473</v>
      </c>
      <c r="CC9" s="58">
        <f>AVERAGE(BY5:BY9)</f>
        <v>0.74155463495154172</v>
      </c>
      <c r="CD9" s="51">
        <f>(SUM(AB5:AB9)-SUM(AZ5:AZ9))/SUM(AB5:AB9)</f>
        <v>0.74291176223053157</v>
      </c>
      <c r="CE9" s="51">
        <f>(SUM(AC5:AC9)-SUM(BA5:BA9))/SUM(AC5:AC9)</f>
        <v>0.73351638638581196</v>
      </c>
      <c r="CF9" s="51">
        <f>(SUM(AB5:AC9)-SUM(AZ5:BA9))/SUM(AB5:AC9)</f>
        <v>0.73853306127776952</v>
      </c>
    </row>
    <row r="10" spans="1:84" x14ac:dyDescent="0.15">
      <c r="A10" s="11"/>
      <c r="B10" s="11" t="s">
        <v>20</v>
      </c>
      <c r="C10" s="12" t="s">
        <v>144</v>
      </c>
      <c r="D10" s="11">
        <v>218121242</v>
      </c>
      <c r="E10" s="12">
        <v>10</v>
      </c>
      <c r="F10" s="12">
        <v>32</v>
      </c>
      <c r="G10" s="12">
        <v>30</v>
      </c>
      <c r="I10" s="13">
        <f t="shared" si="0"/>
        <v>3.1803675</v>
      </c>
      <c r="J10" s="14">
        <f t="shared" si="1"/>
        <v>1.555278142052758E-2</v>
      </c>
      <c r="K10" s="14">
        <f t="shared" si="2"/>
        <v>8.0389419385389349E-3</v>
      </c>
      <c r="L10" s="14">
        <f t="shared" si="3"/>
        <v>4.2751636266586089E-3</v>
      </c>
      <c r="M10" s="14">
        <f t="shared" si="4"/>
        <v>7.5138394819886456E-3</v>
      </c>
      <c r="N10" s="11">
        <f t="shared" si="5"/>
        <v>1753464</v>
      </c>
      <c r="O10" s="14">
        <v>-12</v>
      </c>
      <c r="P10" s="15">
        <v>20646708</v>
      </c>
      <c r="Q10" s="15">
        <v>645209.625</v>
      </c>
      <c r="R10" s="15">
        <v>18054.21875</v>
      </c>
      <c r="S10" s="16">
        <v>3392392</v>
      </c>
      <c r="T10" s="16">
        <v>932504</v>
      </c>
      <c r="U10" s="16">
        <v>820960</v>
      </c>
      <c r="V10" s="16">
        <v>1638928</v>
      </c>
      <c r="W10" s="17">
        <v>65.886574999999993</v>
      </c>
      <c r="X10" s="17">
        <v>67.829274999999996</v>
      </c>
      <c r="Y10" s="17">
        <v>32.394371874999898</v>
      </c>
      <c r="Z10" s="17">
        <v>39.164603124999999</v>
      </c>
      <c r="AA10" s="17">
        <v>32.094328124999997</v>
      </c>
      <c r="AB10" s="18">
        <v>466.02199999999999</v>
      </c>
      <c r="AC10" s="18">
        <v>427.16</v>
      </c>
      <c r="AD10" s="18">
        <v>1481.38</v>
      </c>
      <c r="AE10" s="18">
        <v>10.484</v>
      </c>
      <c r="AG10" s="13">
        <f t="shared" si="6"/>
        <v>3.1821899999999999</v>
      </c>
      <c r="AH10" s="14">
        <f t="shared" si="7"/>
        <v>1.5561693894994419E-2</v>
      </c>
      <c r="AI10" s="14">
        <f t="shared" si="8"/>
        <v>8.0777827223265115E-3</v>
      </c>
      <c r="AJ10" s="14">
        <f t="shared" si="9"/>
        <v>4.3140044104461863E-3</v>
      </c>
      <c r="AK10" s="14">
        <f t="shared" si="10"/>
        <v>7.4839111726679054E-3</v>
      </c>
      <c r="AL10" s="11">
        <f t="shared" si="11"/>
        <v>1761936</v>
      </c>
      <c r="AM10" s="14">
        <v>-12</v>
      </c>
      <c r="AN10" s="15"/>
      <c r="AO10" s="15"/>
      <c r="AP10" s="15"/>
      <c r="AQ10" s="16">
        <v>3394336</v>
      </c>
      <c r="AR10" s="16">
        <v>940976</v>
      </c>
      <c r="AS10" s="16">
        <v>820960</v>
      </c>
      <c r="AT10" s="16">
        <v>1632400</v>
      </c>
      <c r="AU10" s="17">
        <v>65.877021874999997</v>
      </c>
      <c r="AV10" s="17">
        <v>67.762359375000003</v>
      </c>
      <c r="AW10" s="17">
        <v>32.343868749999999</v>
      </c>
      <c r="AX10" s="17">
        <v>39.183971874999997</v>
      </c>
      <c r="AY10" s="17">
        <v>32.020074999999999</v>
      </c>
      <c r="AZ10" s="18">
        <v>105.21</v>
      </c>
      <c r="BA10" s="18">
        <v>84.911000000000001</v>
      </c>
      <c r="BB10" s="18">
        <v>779.98400000000004</v>
      </c>
      <c r="BC10" s="18">
        <v>10.5</v>
      </c>
      <c r="BE10" s="43">
        <f t="shared" si="12"/>
        <v>1.0048315790914439</v>
      </c>
      <c r="BF10" s="19" t="e">
        <f t="shared" si="13"/>
        <v>#DIV/0!</v>
      </c>
      <c r="BG10" s="19">
        <f t="shared" si="14"/>
        <v>2.1998949854670213E-3</v>
      </c>
      <c r="BH10" s="19">
        <f t="array" ref="BH10">AVERAGE(AL10:AL14/AQ10:AQ14) - AVERAGE(N10:N14/S10:S14)</f>
        <v>2.6540682806586169E-3</v>
      </c>
      <c r="BJ10" s="43">
        <f>IF( OR(ISBLANK(N10:N14),ISBLANK(AL10:AL14), ISBLANK(W10:W14),ISBLANK(AU10:AU14)), "·", bdRateExtend( N10:N14,W10:W14, AL10:AL14,AU10:AU14))</f>
        <v>1.1325933746898276E-2</v>
      </c>
      <c r="BK10" s="43">
        <f>IF( OR(ISBLANK(N10:N14),ISBLANK(AL10:AL14), ISBLANK(X10:X14),ISBLANK(AV10:AV14)), "·", bdRateExtend( N10:N14,X10:X14, AL10:AL14,AV10:AV14))</f>
        <v>1.6632901248715859E-2</v>
      </c>
      <c r="BL10" s="43">
        <f>IF( OR(ISBLANK(V10:V14),ISBLANK(AT10:AT14), ISBLANK(Y10:Y14),ISBLANK(AW10:AW14)), "·", bdRateExtend( V10:V14,Y10:Y14, AT10:AT14,AW10:AW14))</f>
        <v>2.3162173174589018E-2</v>
      </c>
      <c r="BM10" s="43">
        <f>IF( OR(ISBLANK(V10:V14),ISBLANK(AT10:AT14), ISBLANK(Z10:Z14),ISBLANK(AX10:AX14)), "·", bdRateExtend( V10:V14,Z10:Z14, AT10:AT14,AX10:AX14))</f>
        <v>-9.9736496707337752E-3</v>
      </c>
      <c r="BN10" s="43">
        <f>IF( OR(ISBLANK(V10:V14),ISBLANK(AT10:AT14), ISBLANK(AA10:AA14),ISBLANK(AY10:AY14)), "·", bdRateExtend( V10:V14,AA10:AA14, AT10:AT14,AY10:AY14))</f>
        <v>1.9952022623123122E-2</v>
      </c>
      <c r="BP10" s="43">
        <f>IF( OR(ISBLANK(S10:S14),ISBLANK(AQ10:AQ14), ISBLANK(W10:W14),ISBLANK(AU10:AU14)), "·", bdRateExtend( S10:S14,W10:W14, AQ10:AQ14,AU10:AU14))</f>
        <v>6.6694031629501715E-3</v>
      </c>
      <c r="BQ10" s="43">
        <f>IF( OR(ISBLANK(S10:S14),ISBLANK(AQ10:AQ14), ISBLANK(X10:X14),ISBLANK(AV10:AV14)), "·", bdRateExtend( S10:S14,X10:X14, AQ10:AQ14,AV10:AV14))</f>
        <v>1.5715872927000607E-2</v>
      </c>
      <c r="BR10" s="43">
        <f>IF( OR(ISBLANK(S10:S14),ISBLANK(AQ10:AQ14), ISBLANK(Y10:Y14),ISBLANK(AW10:AW14)), "·", bdRateExtend( S10:S14,Y10:Y14, AQ10:AQ14,AW10:AW14))</f>
        <v>2.3095954893435744E-2</v>
      </c>
      <c r="BS10" s="43">
        <f>IF( OR(ISBLANK(S10:S14),ISBLANK(AQ10:AQ14), ISBLANK(Z10:Z14),ISBLANK(AX10:AX14)), "·", bdRateExtend( S10:S14,Z10:Z14, AQ10:AQ14,AX10:AX14))</f>
        <v>-4.3869915230788648E-3</v>
      </c>
      <c r="BT10" s="43">
        <f>IF( OR(ISBLANK(S10:S14),ISBLANK(AQ10:AQ14), ISBLANK(AA10:AA14),ISBLANK(AY10:AY14)), "·", bdRateExtend( S10:S14,AA10:AA14, AQ10:AQ14,AY10:AY14))</f>
        <v>1.942651074088908E-2</v>
      </c>
      <c r="BV10" s="51">
        <f t="shared" si="15"/>
        <v>0.77423812609705123</v>
      </c>
      <c r="BW10" s="51">
        <f t="shared" si="15"/>
        <v>0.80121968349096362</v>
      </c>
      <c r="BX10" s="51">
        <f t="shared" si="15"/>
        <v>0.47347473301921184</v>
      </c>
      <c r="BY10" s="51">
        <f t="shared" si="16"/>
        <v>0.78772890479400748</v>
      </c>
      <c r="BZ10" s="55"/>
      <c r="CA10" s="51"/>
      <c r="CC10" s="57"/>
    </row>
    <row r="11" spans="1:84" outlineLevel="1" x14ac:dyDescent="0.15">
      <c r="A11" s="46"/>
      <c r="B11" s="46" t="s">
        <v>20</v>
      </c>
      <c r="C11" s="3" t="s">
        <v>145</v>
      </c>
      <c r="D11" s="46">
        <v>218121242</v>
      </c>
      <c r="E11" s="3">
        <v>10</v>
      </c>
      <c r="F11" s="3">
        <v>32</v>
      </c>
      <c r="G11" s="3">
        <v>30</v>
      </c>
      <c r="I11" s="4">
        <f t="shared" si="0"/>
        <v>4.5974775000000001</v>
      </c>
      <c r="J11" s="5">
        <f t="shared" si="1"/>
        <v>2.2482798809663848E-2</v>
      </c>
      <c r="K11" s="5">
        <f t="shared" si="2"/>
        <v>9.7882442829662596E-3</v>
      </c>
      <c r="L11" s="5">
        <f t="shared" si="3"/>
        <v>6.0244659710859336E-3</v>
      </c>
      <c r="M11" s="5">
        <f t="shared" si="4"/>
        <v>1.2694554526697589E-2</v>
      </c>
      <c r="N11" s="46">
        <f t="shared" si="5"/>
        <v>2135024</v>
      </c>
      <c r="O11" s="5">
        <v>-12</v>
      </c>
      <c r="P11" s="6">
        <v>22133832</v>
      </c>
      <c r="Q11" s="6">
        <v>691682.25</v>
      </c>
      <c r="R11" s="6">
        <v>23047.09375</v>
      </c>
      <c r="S11" s="7">
        <v>4903976</v>
      </c>
      <c r="T11" s="7">
        <v>1314064</v>
      </c>
      <c r="U11" s="7">
        <v>820960</v>
      </c>
      <c r="V11" s="7">
        <v>2768952</v>
      </c>
      <c r="W11" s="8">
        <v>67.609459374999901</v>
      </c>
      <c r="X11" s="8">
        <v>69.693121874999903</v>
      </c>
      <c r="Y11" s="8">
        <v>34.251906249999998</v>
      </c>
      <c r="Z11" s="8">
        <v>40.012206249999899</v>
      </c>
      <c r="AA11" s="8">
        <v>33.863571874999998</v>
      </c>
      <c r="AB11" s="9">
        <v>490.67200000000003</v>
      </c>
      <c r="AC11" s="9">
        <v>439.33600000000001</v>
      </c>
      <c r="AD11" s="9">
        <v>1520.53</v>
      </c>
      <c r="AE11" s="9">
        <v>10.484</v>
      </c>
      <c r="AG11" s="4">
        <f t="shared" si="6"/>
        <v>4.5967124999999998</v>
      </c>
      <c r="AH11" s="5">
        <f t="shared" si="7"/>
        <v>2.2479057770998755E-2</v>
      </c>
      <c r="AI11" s="5">
        <f t="shared" si="8"/>
        <v>9.8366944013641728E-3</v>
      </c>
      <c r="AJ11" s="5">
        <f t="shared" si="9"/>
        <v>6.0729160894838477E-3</v>
      </c>
      <c r="AK11" s="5">
        <f t="shared" si="10"/>
        <v>1.2642363369634582E-2</v>
      </c>
      <c r="AL11" s="46">
        <f t="shared" si="11"/>
        <v>2145592</v>
      </c>
      <c r="AM11" s="5">
        <v>-12</v>
      </c>
      <c r="AN11" s="6"/>
      <c r="AO11" s="6"/>
      <c r="AP11" s="6"/>
      <c r="AQ11" s="7">
        <v>4903160</v>
      </c>
      <c r="AR11" s="7">
        <v>1324632</v>
      </c>
      <c r="AS11" s="7">
        <v>820960</v>
      </c>
      <c r="AT11" s="7">
        <v>2757568</v>
      </c>
      <c r="AU11" s="8">
        <v>67.576081250000001</v>
      </c>
      <c r="AV11" s="8">
        <v>69.599887499999994</v>
      </c>
      <c r="AW11" s="8">
        <v>34.155425000000001</v>
      </c>
      <c r="AX11" s="8">
        <v>40.032081249999997</v>
      </c>
      <c r="AY11" s="8">
        <v>33.757662500000002</v>
      </c>
      <c r="AZ11" s="9">
        <v>115.654</v>
      </c>
      <c r="BA11" s="9">
        <v>91.376999999999995</v>
      </c>
      <c r="BB11" s="9">
        <v>795.70299999999997</v>
      </c>
      <c r="BC11" s="9">
        <v>10.468</v>
      </c>
      <c r="BE11" s="44">
        <f t="shared" si="12"/>
        <v>1.0049498272618949</v>
      </c>
      <c r="BF11" s="10" t="e">
        <f t="shared" si="13"/>
        <v>#DIV/0!</v>
      </c>
      <c r="BG11" s="10">
        <f t="shared" si="14"/>
        <v>2.2277997428005181E-3</v>
      </c>
      <c r="BH11" s="10"/>
      <c r="BJ11" s="44"/>
      <c r="BK11" s="44"/>
      <c r="BL11" s="44"/>
      <c r="BM11" s="44"/>
      <c r="BN11" s="44"/>
      <c r="BP11" s="44"/>
      <c r="BQ11" s="44"/>
      <c r="BR11" s="44"/>
      <c r="BS11" s="44"/>
      <c r="BT11" s="44"/>
      <c r="BV11" s="51">
        <f t="shared" si="15"/>
        <v>0.76429468157954805</v>
      </c>
      <c r="BW11" s="51">
        <f t="shared" si="15"/>
        <v>0.79201112588087474</v>
      </c>
      <c r="BX11" s="51">
        <f t="shared" si="15"/>
        <v>0.47669365287103838</v>
      </c>
      <c r="BY11" s="51">
        <f t="shared" si="16"/>
        <v>0.7781529037302114</v>
      </c>
      <c r="BZ11" s="55"/>
      <c r="CA11" s="51"/>
      <c r="CC11" s="57"/>
    </row>
    <row r="12" spans="1:84" outlineLevel="1" x14ac:dyDescent="0.15">
      <c r="A12" s="11"/>
      <c r="B12" s="11" t="s">
        <v>20</v>
      </c>
      <c r="C12" s="12" t="s">
        <v>146</v>
      </c>
      <c r="D12" s="11">
        <v>218121242</v>
      </c>
      <c r="E12" s="12">
        <v>10</v>
      </c>
      <c r="F12" s="12">
        <v>32</v>
      </c>
      <c r="G12" s="12">
        <v>30</v>
      </c>
      <c r="I12" s="13">
        <f t="shared" si="0"/>
        <v>7.1139150000000004</v>
      </c>
      <c r="J12" s="14">
        <f t="shared" si="1"/>
        <v>3.4788798791087025E-2</v>
      </c>
      <c r="K12" s="14">
        <f t="shared" si="2"/>
        <v>1.2487220295582215E-2</v>
      </c>
      <c r="L12" s="14">
        <f t="shared" si="3"/>
        <v>8.7234419837018892E-3</v>
      </c>
      <c r="M12" s="14">
        <f t="shared" si="4"/>
        <v>2.2301578495504806E-2</v>
      </c>
      <c r="N12" s="11">
        <f t="shared" si="5"/>
        <v>2723728</v>
      </c>
      <c r="O12" s="14">
        <v>-12</v>
      </c>
      <c r="P12" s="15">
        <v>22504730</v>
      </c>
      <c r="Q12" s="15">
        <v>703272.8125</v>
      </c>
      <c r="R12" s="15">
        <v>24737.1875</v>
      </c>
      <c r="S12" s="16">
        <v>7588176</v>
      </c>
      <c r="T12" s="16">
        <v>1902768</v>
      </c>
      <c r="U12" s="16">
        <v>820960</v>
      </c>
      <c r="V12" s="16">
        <v>4864448</v>
      </c>
      <c r="W12" s="17">
        <v>68.953246874999905</v>
      </c>
      <c r="X12" s="17">
        <v>71.331493749999893</v>
      </c>
      <c r="Y12" s="17">
        <v>36.335381249999998</v>
      </c>
      <c r="Z12" s="17">
        <v>40.939156249999897</v>
      </c>
      <c r="AA12" s="17">
        <v>35.640265624999898</v>
      </c>
      <c r="AB12" s="18">
        <v>517.66099999999994</v>
      </c>
      <c r="AC12" s="18">
        <v>451.67700000000002</v>
      </c>
      <c r="AD12" s="18">
        <v>1558.5</v>
      </c>
      <c r="AE12" s="18">
        <v>10.39</v>
      </c>
      <c r="AG12" s="13">
        <f t="shared" si="6"/>
        <v>7.1176575</v>
      </c>
      <c r="AH12" s="14">
        <f t="shared" si="7"/>
        <v>3.4807100539066251E-2</v>
      </c>
      <c r="AI12" s="14">
        <f t="shared" si="8"/>
        <v>1.2615956037880988E-2</v>
      </c>
      <c r="AJ12" s="14">
        <f t="shared" si="9"/>
        <v>8.8521777260006616E-3</v>
      </c>
      <c r="AK12" s="14">
        <f t="shared" si="10"/>
        <v>2.2191144501185263E-2</v>
      </c>
      <c r="AL12" s="11">
        <f t="shared" si="11"/>
        <v>2751808</v>
      </c>
      <c r="AM12" s="14">
        <v>-12</v>
      </c>
      <c r="AN12" s="15"/>
      <c r="AO12" s="15"/>
      <c r="AP12" s="15"/>
      <c r="AQ12" s="16">
        <v>7592168</v>
      </c>
      <c r="AR12" s="16">
        <v>1930848</v>
      </c>
      <c r="AS12" s="16">
        <v>820960</v>
      </c>
      <c r="AT12" s="16">
        <v>4840360</v>
      </c>
      <c r="AU12" s="17">
        <v>68.939781249999996</v>
      </c>
      <c r="AV12" s="17">
        <v>71.223621875000006</v>
      </c>
      <c r="AW12" s="17">
        <v>36.265053125000001</v>
      </c>
      <c r="AX12" s="17">
        <v>40.944109374999996</v>
      </c>
      <c r="AY12" s="17">
        <v>35.559381249999902</v>
      </c>
      <c r="AZ12" s="18">
        <v>132.423</v>
      </c>
      <c r="BA12" s="18">
        <v>114.821</v>
      </c>
      <c r="BB12" s="18">
        <v>838.96799999999996</v>
      </c>
      <c r="BC12" s="18">
        <v>10.265000000000001</v>
      </c>
      <c r="BE12" s="43">
        <f t="shared" si="12"/>
        <v>1.010309399470138</v>
      </c>
      <c r="BF12" s="19" t="e">
        <f t="shared" si="13"/>
        <v>#DIV/0!</v>
      </c>
      <c r="BG12" s="19">
        <f t="shared" si="14"/>
        <v>3.5098138942203372E-3</v>
      </c>
      <c r="BH12" s="19"/>
      <c r="BJ12" s="43"/>
      <c r="BK12" s="43"/>
      <c r="BL12" s="43"/>
      <c r="BM12" s="43"/>
      <c r="BN12" s="43"/>
      <c r="BP12" s="43"/>
      <c r="BQ12" s="43"/>
      <c r="BR12" s="43"/>
      <c r="BS12" s="43"/>
      <c r="BT12" s="43"/>
      <c r="BV12" s="51">
        <f t="shared" si="15"/>
        <v>0.74418973034476232</v>
      </c>
      <c r="BW12" s="51">
        <f t="shared" si="15"/>
        <v>0.74578957972179227</v>
      </c>
      <c r="BX12" s="51">
        <f t="shared" si="15"/>
        <v>0.46168238691049091</v>
      </c>
      <c r="BY12" s="51">
        <f t="shared" si="16"/>
        <v>0.7449896550332773</v>
      </c>
      <c r="BZ12" s="55"/>
      <c r="CA12" s="51"/>
      <c r="CC12" s="57"/>
    </row>
    <row r="13" spans="1:84" outlineLevel="1" x14ac:dyDescent="0.15">
      <c r="A13" s="46"/>
      <c r="B13" s="46" t="s">
        <v>20</v>
      </c>
      <c r="C13" s="3" t="s">
        <v>147</v>
      </c>
      <c r="D13" s="46">
        <v>218121242</v>
      </c>
      <c r="E13" s="3">
        <v>10</v>
      </c>
      <c r="F13" s="3">
        <v>32</v>
      </c>
      <c r="G13" s="3">
        <v>30</v>
      </c>
      <c r="I13" s="4">
        <f t="shared" si="0"/>
        <v>12.0106275</v>
      </c>
      <c r="J13" s="5">
        <f t="shared" si="1"/>
        <v>5.8734930548396569E-2</v>
      </c>
      <c r="K13" s="5">
        <f t="shared" si="2"/>
        <v>1.7163445273248534E-2</v>
      </c>
      <c r="L13" s="5">
        <f t="shared" si="3"/>
        <v>1.339966696136821E-2</v>
      </c>
      <c r="M13" s="5">
        <f t="shared" si="4"/>
        <v>4.1571485275148028E-2</v>
      </c>
      <c r="N13" s="46">
        <f t="shared" si="5"/>
        <v>3743712</v>
      </c>
      <c r="O13" s="5">
        <v>-12</v>
      </c>
      <c r="P13" s="6">
        <v>23275134</v>
      </c>
      <c r="Q13" s="6">
        <v>727347.9375</v>
      </c>
      <c r="R13" s="6">
        <v>27993.34375</v>
      </c>
      <c r="S13" s="7">
        <v>12811336</v>
      </c>
      <c r="T13" s="7">
        <v>2922752</v>
      </c>
      <c r="U13" s="7">
        <v>820960</v>
      </c>
      <c r="V13" s="7">
        <v>9067624</v>
      </c>
      <c r="W13" s="8">
        <v>70.078087499999896</v>
      </c>
      <c r="X13" s="8">
        <v>72.601274999999902</v>
      </c>
      <c r="Y13" s="8">
        <v>38.662809375000002</v>
      </c>
      <c r="Z13" s="8">
        <v>42.1082156249999</v>
      </c>
      <c r="AA13" s="8">
        <v>37.696206249999904</v>
      </c>
      <c r="AB13" s="9">
        <v>557.47799999999995</v>
      </c>
      <c r="AC13" s="9">
        <v>480.03199999999998</v>
      </c>
      <c r="AD13" s="9">
        <v>1627</v>
      </c>
      <c r="AE13" s="9">
        <v>10.25</v>
      </c>
      <c r="AG13" s="4">
        <f t="shared" si="6"/>
        <v>11.958195</v>
      </c>
      <c r="AH13" s="5">
        <f t="shared" si="7"/>
        <v>5.8478522692439097E-2</v>
      </c>
      <c r="AI13" s="5">
        <f t="shared" si="8"/>
        <v>1.7280481100506478E-2</v>
      </c>
      <c r="AJ13" s="5">
        <f t="shared" si="9"/>
        <v>1.3516702788626152E-2</v>
      </c>
      <c r="AK13" s="5">
        <f t="shared" si="10"/>
        <v>4.1198041591932619E-2</v>
      </c>
      <c r="AL13" s="46">
        <f t="shared" si="11"/>
        <v>3769240</v>
      </c>
      <c r="AM13" s="5">
        <v>-12</v>
      </c>
      <c r="AN13" s="6"/>
      <c r="AO13" s="6"/>
      <c r="AP13" s="6"/>
      <c r="AQ13" s="7">
        <v>12755408</v>
      </c>
      <c r="AR13" s="7">
        <v>2948280</v>
      </c>
      <c r="AS13" s="7">
        <v>820960</v>
      </c>
      <c r="AT13" s="7">
        <v>8986168</v>
      </c>
      <c r="AU13" s="8">
        <v>70.057959374999996</v>
      </c>
      <c r="AV13" s="8">
        <v>72.569087499999995</v>
      </c>
      <c r="AW13" s="8">
        <v>38.517743749999902</v>
      </c>
      <c r="AX13" s="8">
        <v>42.107831249999897</v>
      </c>
      <c r="AY13" s="8">
        <v>37.617487500000003</v>
      </c>
      <c r="AZ13" s="9">
        <v>154.04499999999999</v>
      </c>
      <c r="BA13" s="9">
        <v>136.452</v>
      </c>
      <c r="BB13" s="9">
        <v>883.81200000000001</v>
      </c>
      <c r="BC13" s="9">
        <v>10.468</v>
      </c>
      <c r="BE13" s="44">
        <f t="shared" si="12"/>
        <v>1.0068189005991914</v>
      </c>
      <c r="BF13" s="10" t="e">
        <f t="shared" si="13"/>
        <v>#DIV/0!</v>
      </c>
      <c r="BG13" s="10">
        <f t="shared" si="14"/>
        <v>3.282623940113083E-3</v>
      </c>
      <c r="BH13" s="10"/>
      <c r="BJ13" s="44"/>
      <c r="BK13" s="44"/>
      <c r="BL13" s="44"/>
      <c r="BM13" s="44"/>
      <c r="BN13" s="44"/>
      <c r="BP13" s="44"/>
      <c r="BQ13" s="44"/>
      <c r="BR13" s="44"/>
      <c r="BS13" s="44"/>
      <c r="BT13" s="44"/>
      <c r="BV13" s="51">
        <f t="shared" si="15"/>
        <v>0.72367519435744554</v>
      </c>
      <c r="BW13" s="51">
        <f t="shared" si="15"/>
        <v>0.71574395040330641</v>
      </c>
      <c r="BX13" s="51">
        <f t="shared" si="15"/>
        <v>0.4567842655193608</v>
      </c>
      <c r="BY13" s="51">
        <f t="shared" si="16"/>
        <v>0.71970957238037592</v>
      </c>
      <c r="BZ13" s="55"/>
      <c r="CA13" s="51"/>
      <c r="CC13" s="57"/>
    </row>
    <row r="14" spans="1:84" ht="14.25" outlineLevel="1" thickBot="1" x14ac:dyDescent="0.2">
      <c r="A14" s="11"/>
      <c r="B14" s="30" t="s">
        <v>20</v>
      </c>
      <c r="C14" s="31" t="s">
        <v>148</v>
      </c>
      <c r="D14" s="30">
        <v>218121242</v>
      </c>
      <c r="E14" s="31">
        <v>10</v>
      </c>
      <c r="F14" s="31">
        <v>32</v>
      </c>
      <c r="G14" s="31">
        <v>30</v>
      </c>
      <c r="I14" s="32">
        <f t="shared" si="0"/>
        <v>21.562027499999999</v>
      </c>
      <c r="J14" s="33">
        <f t="shared" si="1"/>
        <v>0.10544363212455943</v>
      </c>
      <c r="K14" s="33">
        <f t="shared" si="2"/>
        <v>2.8264354005466372E-2</v>
      </c>
      <c r="L14" s="33">
        <f t="shared" si="3"/>
        <v>2.1175159088815385E-2</v>
      </c>
      <c r="M14" s="33">
        <f t="shared" si="4"/>
        <v>7.7179278119093045E-2</v>
      </c>
      <c r="N14" s="30">
        <f t="shared" si="5"/>
        <v>6165056</v>
      </c>
      <c r="O14" s="33">
        <v>-12</v>
      </c>
      <c r="P14" s="34">
        <v>22108568</v>
      </c>
      <c r="Q14" s="34">
        <v>690892.75</v>
      </c>
      <c r="R14" s="34">
        <v>13255.34375</v>
      </c>
      <c r="S14" s="35">
        <v>22999496</v>
      </c>
      <c r="T14" s="35">
        <v>4618752</v>
      </c>
      <c r="U14" s="35">
        <v>1546304</v>
      </c>
      <c r="V14" s="35">
        <v>16834440</v>
      </c>
      <c r="W14" s="36">
        <v>70.921371874999906</v>
      </c>
      <c r="X14" s="36">
        <v>74.713256250000001</v>
      </c>
      <c r="Y14" s="36">
        <v>40.916131249999999</v>
      </c>
      <c r="Z14" s="36">
        <v>43.428543749999903</v>
      </c>
      <c r="AA14" s="36">
        <v>39.494587500000002</v>
      </c>
      <c r="AB14" s="37">
        <v>598.178</v>
      </c>
      <c r="AC14" s="37">
        <v>538.14099999999996</v>
      </c>
      <c r="AD14" s="37">
        <v>1743.52</v>
      </c>
      <c r="AE14" s="37">
        <v>10.375</v>
      </c>
      <c r="AG14" s="32">
        <f t="shared" si="6"/>
        <v>21.397222500000002</v>
      </c>
      <c r="AH14" s="33">
        <f t="shared" si="7"/>
        <v>0.1046376950301796</v>
      </c>
      <c r="AI14" s="33">
        <f t="shared" si="8"/>
        <v>2.8262850254630403E-2</v>
      </c>
      <c r="AJ14" s="33">
        <f t="shared" si="9"/>
        <v>2.1173655337979415E-2</v>
      </c>
      <c r="AK14" s="33">
        <f t="shared" si="10"/>
        <v>7.6374844775549192E-2</v>
      </c>
      <c r="AL14" s="30">
        <f t="shared" si="11"/>
        <v>6164728</v>
      </c>
      <c r="AM14" s="33">
        <v>-12</v>
      </c>
      <c r="AN14" s="34"/>
      <c r="AO14" s="34"/>
      <c r="AP14" s="34"/>
      <c r="AQ14" s="35">
        <v>22823704</v>
      </c>
      <c r="AR14" s="35">
        <v>4618424</v>
      </c>
      <c r="AS14" s="35">
        <v>1546304</v>
      </c>
      <c r="AT14" s="35">
        <v>16658976</v>
      </c>
      <c r="AU14" s="36">
        <v>70.906215624999902</v>
      </c>
      <c r="AV14" s="36">
        <v>74.682603125</v>
      </c>
      <c r="AW14" s="36">
        <v>40.762759374999902</v>
      </c>
      <c r="AX14" s="36">
        <v>43.407168749999997</v>
      </c>
      <c r="AY14" s="36">
        <v>39.446259374999997</v>
      </c>
      <c r="AZ14" s="37">
        <v>211.03899999999999</v>
      </c>
      <c r="BA14" s="37">
        <v>218.286</v>
      </c>
      <c r="BB14" s="37">
        <v>1038.0899999999999</v>
      </c>
      <c r="BC14" s="37">
        <v>10.5</v>
      </c>
      <c r="BE14" s="38">
        <f t="shared" si="12"/>
        <v>0.99994679691474009</v>
      </c>
      <c r="BF14" s="39" t="e">
        <f t="shared" si="13"/>
        <v>#DIV/0!</v>
      </c>
      <c r="BG14" s="39">
        <f t="shared" si="14"/>
        <v>2.0502088406922914E-3</v>
      </c>
      <c r="BH14" s="39"/>
      <c r="BJ14" s="38"/>
      <c r="BK14" s="38"/>
      <c r="BL14" s="38"/>
      <c r="BM14" s="38"/>
      <c r="BN14" s="38"/>
      <c r="BP14" s="38"/>
      <c r="BQ14" s="38"/>
      <c r="BR14" s="38"/>
      <c r="BS14" s="38"/>
      <c r="BT14" s="38"/>
      <c r="BV14" s="51">
        <f t="shared" si="15"/>
        <v>0.64719698818746263</v>
      </c>
      <c r="BW14" s="51">
        <f t="shared" si="15"/>
        <v>0.59437024868946986</v>
      </c>
      <c r="BX14" s="51">
        <f t="shared" si="15"/>
        <v>0.40460103698265582</v>
      </c>
      <c r="BY14" s="51">
        <f t="shared" si="16"/>
        <v>0.6207836184384663</v>
      </c>
      <c r="BZ14" s="55">
        <f t="shared" ref="BZ14:CA14" si="17">AVERAGE(BV10:BV14)</f>
        <v>0.730718944113254</v>
      </c>
      <c r="CA14" s="51">
        <f t="shared" si="17"/>
        <v>0.72982691763728147</v>
      </c>
      <c r="CB14" s="51">
        <f>AVERAGE(BX10:BX14)</f>
        <v>0.4546472150605515</v>
      </c>
      <c r="CC14" s="58">
        <f>AVERAGE(BY10:BY14)</f>
        <v>0.73027293087526757</v>
      </c>
      <c r="CD14" s="51">
        <f t="shared" ref="CD14:CE14" si="18">(SUM(AB10:AB14)-SUM(AZ10:AZ14))/SUM(AB10:AB14)</f>
        <v>0.72685627550607201</v>
      </c>
      <c r="CE14" s="51">
        <f t="shared" si="18"/>
        <v>0.72356534520143845</v>
      </c>
      <c r="CF14" s="51">
        <f t="shared" ref="CF14" si="19">(SUM(AB10:AC14)-SUM(AZ10:BA14))/SUM(AB10:AC14)</f>
        <v>0.72530810813640667</v>
      </c>
    </row>
    <row r="15" spans="1:84" x14ac:dyDescent="0.15">
      <c r="A15" s="46"/>
      <c r="B15" s="46" t="s">
        <v>23</v>
      </c>
      <c r="C15" s="3" t="s">
        <v>144</v>
      </c>
      <c r="D15" s="46">
        <v>322589704</v>
      </c>
      <c r="E15" s="3">
        <v>10</v>
      </c>
      <c r="F15" s="3">
        <v>32</v>
      </c>
      <c r="G15" s="3">
        <v>30</v>
      </c>
      <c r="I15" s="4">
        <f t="shared" si="0"/>
        <v>4.4048550000000004</v>
      </c>
      <c r="J15" s="5">
        <f t="shared" si="1"/>
        <v>1.4564978180456744E-2</v>
      </c>
      <c r="K15" s="5">
        <f t="shared" si="2"/>
        <v>8.2289049126006829E-3</v>
      </c>
      <c r="L15" s="5">
        <f t="shared" si="3"/>
        <v>4.3908902932624288E-3</v>
      </c>
      <c r="M15" s="5">
        <f t="shared" si="4"/>
        <v>6.3360732678560631E-3</v>
      </c>
      <c r="N15" s="46">
        <f t="shared" si="5"/>
        <v>2654560</v>
      </c>
      <c r="O15" s="5">
        <v>-12</v>
      </c>
      <c r="P15" s="6">
        <v>30898742</v>
      </c>
      <c r="Q15" s="6">
        <v>965585.6875</v>
      </c>
      <c r="R15" s="6">
        <v>27935.75</v>
      </c>
      <c r="S15" s="7">
        <v>4698512</v>
      </c>
      <c r="T15" s="7">
        <v>1416456</v>
      </c>
      <c r="U15" s="7">
        <v>1238104</v>
      </c>
      <c r="V15" s="7">
        <v>2043952</v>
      </c>
      <c r="W15" s="8">
        <v>65.895415624999998</v>
      </c>
      <c r="X15" s="8">
        <v>67.664484375000001</v>
      </c>
      <c r="Y15" s="8">
        <v>29.421203125000002</v>
      </c>
      <c r="Z15" s="8">
        <v>43.104725000000002</v>
      </c>
      <c r="AA15" s="8">
        <v>43.299262499999998</v>
      </c>
      <c r="AB15" s="9">
        <v>475.726</v>
      </c>
      <c r="AC15" s="9">
        <v>417.60199999999998</v>
      </c>
      <c r="AD15" s="9">
        <v>1775.77</v>
      </c>
      <c r="AE15" s="9">
        <v>10.093</v>
      </c>
      <c r="AG15" s="4">
        <f t="shared" si="6"/>
        <v>4.4088975000000001</v>
      </c>
      <c r="AH15" s="5">
        <f t="shared" si="7"/>
        <v>1.4578345005084229E-2</v>
      </c>
      <c r="AI15" s="5">
        <f t="shared" si="8"/>
        <v>8.263450342482102E-3</v>
      </c>
      <c r="AJ15" s="5">
        <f t="shared" si="9"/>
        <v>4.4254357231438488E-3</v>
      </c>
      <c r="AK15" s="5">
        <f t="shared" si="10"/>
        <v>6.3148946626021265E-3</v>
      </c>
      <c r="AL15" s="46">
        <f t="shared" si="11"/>
        <v>2665704</v>
      </c>
      <c r="AM15" s="5">
        <v>-12</v>
      </c>
      <c r="AN15" s="6"/>
      <c r="AO15" s="6"/>
      <c r="AP15" s="6"/>
      <c r="AQ15" s="7">
        <v>4702824</v>
      </c>
      <c r="AR15" s="7">
        <v>1427600</v>
      </c>
      <c r="AS15" s="7">
        <v>1238104</v>
      </c>
      <c r="AT15" s="7">
        <v>2037120</v>
      </c>
      <c r="AU15" s="8">
        <v>65.890721874999997</v>
      </c>
      <c r="AV15" s="8">
        <v>67.598981249999994</v>
      </c>
      <c r="AW15" s="8">
        <v>29.38156875</v>
      </c>
      <c r="AX15" s="8">
        <v>43.200187499999998</v>
      </c>
      <c r="AY15" s="8">
        <v>43.376915625000002</v>
      </c>
      <c r="AZ15" s="9">
        <v>121.631</v>
      </c>
      <c r="BA15" s="9">
        <v>103.408</v>
      </c>
      <c r="BB15" s="9">
        <v>1095.28</v>
      </c>
      <c r="BC15" s="9">
        <v>9.7029999999999994</v>
      </c>
      <c r="BE15" s="44">
        <f t="shared" si="12"/>
        <v>1.0041980591887167</v>
      </c>
      <c r="BF15" s="10" t="e">
        <f t="shared" si="13"/>
        <v>#DIV/0!</v>
      </c>
      <c r="BG15" s="10">
        <f t="shared" si="14"/>
        <v>1.8516132249399853E-3</v>
      </c>
      <c r="BH15" s="10">
        <f t="array" ref="BH15">AVERAGE(AL15:AL19/AQ15:AQ19) - AVERAGE(N15:N19/S15:S19)</f>
        <v>3.0167268788627855E-3</v>
      </c>
      <c r="BJ15" s="44">
        <f>IF( OR(ISBLANK(N15:N19),ISBLANK(AL15:AL19), ISBLANK(W15:W19),ISBLANK(AU15:AU19)), "·", bdRateExtend( N15:N19,W15:W19, AL15:AL19,AU15:AU19))</f>
        <v>1.0092265198729411E-2</v>
      </c>
      <c r="BK15" s="44">
        <f>IF( OR(ISBLANK(N15:N19),ISBLANK(AL15:AL19), ISBLANK(X15:X19),ISBLANK(AV15:AV19)), "·", bdRateExtend( N15:N19,X15:X19, AL15:AL19,AV15:AV19))</f>
        <v>1.6392153708753909E-2</v>
      </c>
      <c r="BL15" s="44">
        <f>IF( OR(ISBLANK(V15:V19),ISBLANK(AT15:AT19), ISBLANK(Y15:Y19),ISBLANK(AW15:AW19)), "·", bdRateExtend( V15:V19,Y15:Y19, AT15:AT19,AW15:AW19))</f>
        <v>1.9700386560327576E-2</v>
      </c>
      <c r="BM15" s="44">
        <f>IF( OR(ISBLANK(V15:V19),ISBLANK(AT15:AT19), ISBLANK(Z15:Z19),ISBLANK(AX15:AX19)), "·", bdRateExtend( V15:V19,Z15:Z19, AT15:AT19,AX15:AX19))</f>
        <v>-8.6414972060787631E-2</v>
      </c>
      <c r="BN15" s="44">
        <f>IF( OR(ISBLANK(V15:V19),ISBLANK(AT15:AT19), ISBLANK(AA15:AA19),ISBLANK(AY15:AY19)), "·", bdRateExtend( V15:V19,AA15:AA19, AT15:AT19,AY15:AY19))</f>
        <v>-8.245913747710476E-2</v>
      </c>
      <c r="BP15" s="44">
        <f>IF( OR(ISBLANK(S15:S19),ISBLANK(AQ15:AQ19), ISBLANK(W15:W19),ISBLANK(AU15:AU19)), "·", bdRateExtend( S15:S19,W15:W19, AQ15:AQ19,AU15:AU19))</f>
        <v>3.4327266124138944E-3</v>
      </c>
      <c r="BQ15" s="44">
        <f>IF( OR(ISBLANK(S15:S19),ISBLANK(AQ15:AQ19), ISBLANK(X15:X19),ISBLANK(AV15:AV19)), "·", bdRateExtend( S15:S19,X15:X19, AQ15:AQ19,AV15:AV19))</f>
        <v>1.5839610997159692E-2</v>
      </c>
      <c r="BR15" s="44">
        <f>IF( OR(ISBLANK(S15:S19),ISBLANK(AQ15:AQ19), ISBLANK(Y15:Y19),ISBLANK(AW15:AW19)), "·", bdRateExtend( S15:S19,Y15:Y19, AQ15:AQ19,AW15:AW19))</f>
        <v>1.990565501917696E-2</v>
      </c>
      <c r="BS15" s="44">
        <f>IF( OR(ISBLANK(S15:S19),ISBLANK(AQ15:AQ19), ISBLANK(Z15:Z19),ISBLANK(AX15:AX19)), "·", bdRateExtend( S15:S19,Z15:Z19, AQ15:AQ19,AX15:AX19))</f>
        <v>-6.4482509070552307E-2</v>
      </c>
      <c r="BT15" s="44">
        <f>IF( OR(ISBLANK(S15:S19),ISBLANK(AQ15:AQ19), ISBLANK(AA15:AA19),ISBLANK(AY15:AY19)), "·", bdRateExtend( S15:S19,AA15:AA19, AQ15:AQ19,AY15:AY19))</f>
        <v>-6.1399694013563599E-2</v>
      </c>
      <c r="BV15" s="51">
        <f>(AB15-AZ15)/AB15</f>
        <v>0.74432551510743583</v>
      </c>
      <c r="BW15" s="51">
        <f t="shared" si="15"/>
        <v>0.75237666486271615</v>
      </c>
      <c r="BX15" s="51">
        <f t="shared" si="15"/>
        <v>0.38320841099917219</v>
      </c>
      <c r="BY15" s="51">
        <f t="shared" si="16"/>
        <v>0.74835108998507605</v>
      </c>
      <c r="BZ15" s="55"/>
      <c r="CA15" s="51"/>
      <c r="CC15" s="57"/>
    </row>
    <row r="16" spans="1:84" outlineLevel="1" x14ac:dyDescent="0.15">
      <c r="A16" s="11"/>
      <c r="B16" s="11" t="s">
        <v>23</v>
      </c>
      <c r="C16" s="12" t="s">
        <v>145</v>
      </c>
      <c r="D16" s="11">
        <v>322589704</v>
      </c>
      <c r="E16" s="12">
        <v>10</v>
      </c>
      <c r="F16" s="12">
        <v>32</v>
      </c>
      <c r="G16" s="12">
        <v>30</v>
      </c>
      <c r="I16" s="13">
        <f t="shared" si="0"/>
        <v>7.0023150000000003</v>
      </c>
      <c r="J16" s="14">
        <f t="shared" si="1"/>
        <v>2.3153671389338576E-2</v>
      </c>
      <c r="K16" s="14">
        <f t="shared" si="2"/>
        <v>1.0043048367098536E-2</v>
      </c>
      <c r="L16" s="14">
        <f t="shared" si="3"/>
        <v>6.2050337477602821E-3</v>
      </c>
      <c r="M16" s="14">
        <f t="shared" si="4"/>
        <v>1.311062302224004E-2</v>
      </c>
      <c r="N16" s="11">
        <f t="shared" si="5"/>
        <v>3239784</v>
      </c>
      <c r="O16" s="14">
        <v>-12</v>
      </c>
      <c r="P16" s="15">
        <v>33174723</v>
      </c>
      <c r="Q16" s="15">
        <v>1036710.09375</v>
      </c>
      <c r="R16" s="15">
        <v>34658.125</v>
      </c>
      <c r="S16" s="16">
        <v>7469136</v>
      </c>
      <c r="T16" s="16">
        <v>2001680</v>
      </c>
      <c r="U16" s="16">
        <v>1238104</v>
      </c>
      <c r="V16" s="16">
        <v>4229352</v>
      </c>
      <c r="W16" s="17">
        <v>67.721312499999996</v>
      </c>
      <c r="X16" s="17">
        <v>69.756862499999997</v>
      </c>
      <c r="Y16" s="17">
        <v>31.811240625</v>
      </c>
      <c r="Z16" s="17">
        <v>43.961996874999997</v>
      </c>
      <c r="AA16" s="17">
        <v>44.231640624999997</v>
      </c>
      <c r="AB16" s="18">
        <v>520.83500000000004</v>
      </c>
      <c r="AC16" s="18">
        <v>431.221</v>
      </c>
      <c r="AD16" s="18">
        <v>1836.77</v>
      </c>
      <c r="AE16" s="18">
        <v>9.843</v>
      </c>
      <c r="AG16" s="13">
        <f t="shared" si="6"/>
        <v>6.9880500000000003</v>
      </c>
      <c r="AH16" s="14">
        <f t="shared" si="7"/>
        <v>2.3106503113936954E-2</v>
      </c>
      <c r="AI16" s="14">
        <f t="shared" si="8"/>
        <v>1.0079081755194518E-2</v>
      </c>
      <c r="AJ16" s="14">
        <f t="shared" si="9"/>
        <v>6.2410671358562641E-3</v>
      </c>
      <c r="AK16" s="14">
        <f t="shared" si="10"/>
        <v>1.3027421358742436E-2</v>
      </c>
      <c r="AL16" s="11">
        <f t="shared" si="11"/>
        <v>3251408</v>
      </c>
      <c r="AM16" s="14">
        <v>-12</v>
      </c>
      <c r="AN16" s="15"/>
      <c r="AO16" s="15"/>
      <c r="AP16" s="15"/>
      <c r="AQ16" s="16">
        <v>7453920</v>
      </c>
      <c r="AR16" s="16">
        <v>2013304</v>
      </c>
      <c r="AS16" s="16">
        <v>1238104</v>
      </c>
      <c r="AT16" s="16">
        <v>4202512</v>
      </c>
      <c r="AU16" s="17">
        <v>67.687396875000005</v>
      </c>
      <c r="AV16" s="17">
        <v>69.655353125000005</v>
      </c>
      <c r="AW16" s="17">
        <v>31.731993749999901</v>
      </c>
      <c r="AX16" s="17">
        <v>44.17801875</v>
      </c>
      <c r="AY16" s="17">
        <v>44.465731249999898</v>
      </c>
      <c r="AZ16" s="18">
        <v>137.37799999999999</v>
      </c>
      <c r="BA16" s="18">
        <v>110.104</v>
      </c>
      <c r="BB16" s="18">
        <v>1120.6300000000001</v>
      </c>
      <c r="BC16" s="18">
        <v>9.7810000000000006</v>
      </c>
      <c r="BE16" s="43">
        <f t="shared" si="12"/>
        <v>1.0035878935138887</v>
      </c>
      <c r="BF16" s="19" t="e">
        <f t="shared" si="13"/>
        <v>#DIV/0!</v>
      </c>
      <c r="BG16" s="19">
        <f t="shared" si="14"/>
        <v>2.4448926524707759E-3</v>
      </c>
      <c r="BH16" s="19"/>
      <c r="BJ16" s="43"/>
      <c r="BK16" s="43"/>
      <c r="BL16" s="43"/>
      <c r="BM16" s="43"/>
      <c r="BN16" s="43"/>
      <c r="BP16" s="43"/>
      <c r="BQ16" s="43"/>
      <c r="BR16" s="43"/>
      <c r="BS16" s="43"/>
      <c r="BT16" s="43"/>
      <c r="BV16" s="51">
        <f t="shared" ref="BV16:BX29" si="20">(AB16-AZ16)/AB16</f>
        <v>0.73623508404773108</v>
      </c>
      <c r="BW16" s="51">
        <f t="shared" si="15"/>
        <v>0.74466920674085912</v>
      </c>
      <c r="BX16" s="51">
        <f t="shared" si="15"/>
        <v>0.38989094987396344</v>
      </c>
      <c r="BY16" s="51">
        <f t="shared" si="16"/>
        <v>0.74045214539429516</v>
      </c>
      <c r="BZ16" s="55"/>
      <c r="CA16" s="51"/>
      <c r="CC16" s="57"/>
    </row>
    <row r="17" spans="1:84" outlineLevel="1" x14ac:dyDescent="0.15">
      <c r="A17" s="46"/>
      <c r="B17" s="46" t="s">
        <v>23</v>
      </c>
      <c r="C17" s="3" t="s">
        <v>146</v>
      </c>
      <c r="D17" s="46">
        <v>322589704</v>
      </c>
      <c r="E17" s="3">
        <v>10</v>
      </c>
      <c r="F17" s="3">
        <v>32</v>
      </c>
      <c r="G17" s="3">
        <v>30</v>
      </c>
      <c r="I17" s="4">
        <f t="shared" si="0"/>
        <v>11.682667500000001</v>
      </c>
      <c r="J17" s="5">
        <f t="shared" si="1"/>
        <v>3.8629602388053901E-2</v>
      </c>
      <c r="K17" s="5">
        <f t="shared" si="2"/>
        <v>1.2780990679107353E-2</v>
      </c>
      <c r="L17" s="5">
        <f t="shared" si="3"/>
        <v>8.9429760597690994E-3</v>
      </c>
      <c r="M17" s="5">
        <f t="shared" si="4"/>
        <v>2.5848611708946544E-2</v>
      </c>
      <c r="N17" s="46">
        <f t="shared" si="5"/>
        <v>4123016</v>
      </c>
      <c r="O17" s="5">
        <v>-12</v>
      </c>
      <c r="P17" s="6">
        <v>33536779</v>
      </c>
      <c r="Q17" s="6">
        <v>1048024.34375</v>
      </c>
      <c r="R17" s="6">
        <v>36443.15625</v>
      </c>
      <c r="S17" s="7">
        <v>12461512</v>
      </c>
      <c r="T17" s="7">
        <v>2884912</v>
      </c>
      <c r="U17" s="7">
        <v>1238104</v>
      </c>
      <c r="V17" s="7">
        <v>8338496</v>
      </c>
      <c r="W17" s="8">
        <v>69.122003125000006</v>
      </c>
      <c r="X17" s="8">
        <v>71.601190624999902</v>
      </c>
      <c r="Y17" s="8">
        <v>34.352246874999999</v>
      </c>
      <c r="Z17" s="8">
        <v>44.816187499999998</v>
      </c>
      <c r="AA17" s="8">
        <v>45.212228124999903</v>
      </c>
      <c r="AB17" s="9">
        <v>560.51199999999994</v>
      </c>
      <c r="AC17" s="9">
        <v>465.22800000000001</v>
      </c>
      <c r="AD17" s="9">
        <v>1911.09</v>
      </c>
      <c r="AE17" s="9">
        <v>9.75</v>
      </c>
      <c r="AG17" s="4">
        <f t="shared" si="6"/>
        <v>11.644019999999999</v>
      </c>
      <c r="AH17" s="5">
        <f t="shared" si="7"/>
        <v>3.850181157672658E-2</v>
      </c>
      <c r="AI17" s="5">
        <f t="shared" si="8"/>
        <v>1.29112366214887E-2</v>
      </c>
      <c r="AJ17" s="5">
        <f t="shared" si="9"/>
        <v>9.0732220021504471E-3</v>
      </c>
      <c r="AK17" s="5">
        <f t="shared" si="10"/>
        <v>2.5590574955237876E-2</v>
      </c>
      <c r="AL17" s="46">
        <f t="shared" si="11"/>
        <v>4165032</v>
      </c>
      <c r="AM17" s="5">
        <v>-12</v>
      </c>
      <c r="AN17" s="6"/>
      <c r="AO17" s="6"/>
      <c r="AP17" s="6"/>
      <c r="AQ17" s="7">
        <v>12420288</v>
      </c>
      <c r="AR17" s="7">
        <v>2926928</v>
      </c>
      <c r="AS17" s="7">
        <v>1238104</v>
      </c>
      <c r="AT17" s="7">
        <v>8255256</v>
      </c>
      <c r="AU17" s="8">
        <v>69.129215625000001</v>
      </c>
      <c r="AV17" s="8">
        <v>71.496424999999903</v>
      </c>
      <c r="AW17" s="8">
        <v>34.254781249999901</v>
      </c>
      <c r="AX17" s="8">
        <v>44.922671874999999</v>
      </c>
      <c r="AY17" s="8">
        <v>45.311984374999902</v>
      </c>
      <c r="AZ17" s="9">
        <v>156.61199999999999</v>
      </c>
      <c r="BA17" s="9">
        <v>164.14699999999999</v>
      </c>
      <c r="BB17" s="9">
        <v>1192.02</v>
      </c>
      <c r="BC17" s="9">
        <v>9.859</v>
      </c>
      <c r="BE17" s="44">
        <f t="shared" si="12"/>
        <v>1.0101905983386918</v>
      </c>
      <c r="BF17" s="10" t="e">
        <f t="shared" si="13"/>
        <v>#DIV/0!</v>
      </c>
      <c r="BG17" s="10">
        <f t="shared" si="14"/>
        <v>4.4810050380535982E-3</v>
      </c>
      <c r="BH17" s="10"/>
      <c r="BJ17" s="44"/>
      <c r="BK17" s="44"/>
      <c r="BL17" s="44"/>
      <c r="BM17" s="44"/>
      <c r="BN17" s="44"/>
      <c r="BP17" s="44"/>
      <c r="BQ17" s="44"/>
      <c r="BR17" s="44"/>
      <c r="BS17" s="44"/>
      <c r="BT17" s="44"/>
      <c r="BV17" s="51">
        <f t="shared" si="20"/>
        <v>0.72059117378396897</v>
      </c>
      <c r="BW17" s="51">
        <f t="shared" si="15"/>
        <v>0.64716870007824123</v>
      </c>
      <c r="BX17" s="51">
        <f>(AD17-BB17)/AD17</f>
        <v>0.37626171451893942</v>
      </c>
      <c r="BY17" s="51">
        <f t="shared" si="16"/>
        <v>0.68387993693110505</v>
      </c>
      <c r="BZ17" s="55"/>
      <c r="CA17" s="51"/>
      <c r="CC17" s="57"/>
    </row>
    <row r="18" spans="1:84" outlineLevel="1" x14ac:dyDescent="0.15">
      <c r="A18" s="11"/>
      <c r="B18" s="11" t="s">
        <v>23</v>
      </c>
      <c r="C18" s="12" t="s">
        <v>147</v>
      </c>
      <c r="D18" s="11">
        <v>322589704</v>
      </c>
      <c r="E18" s="12">
        <v>10</v>
      </c>
      <c r="F18" s="12">
        <v>32</v>
      </c>
      <c r="G18" s="12">
        <v>30</v>
      </c>
      <c r="I18" s="13">
        <f t="shared" si="0"/>
        <v>20.167642499999999</v>
      </c>
      <c r="J18" s="14">
        <f t="shared" si="1"/>
        <v>6.6685798502732124E-2</v>
      </c>
      <c r="K18" s="14">
        <f t="shared" si="2"/>
        <v>1.7280179531086338E-2</v>
      </c>
      <c r="L18" s="14">
        <f t="shared" si="3"/>
        <v>1.3442164911748083E-2</v>
      </c>
      <c r="M18" s="14">
        <f t="shared" si="4"/>
        <v>4.940561897164579E-2</v>
      </c>
      <c r="N18" s="11">
        <f t="shared" si="5"/>
        <v>5574408</v>
      </c>
      <c r="O18" s="14">
        <v>-12</v>
      </c>
      <c r="P18" s="15">
        <v>34802045</v>
      </c>
      <c r="Q18" s="15">
        <v>1087563.90625</v>
      </c>
      <c r="R18" s="15">
        <v>40924.21875</v>
      </c>
      <c r="S18" s="16">
        <v>21512152</v>
      </c>
      <c r="T18" s="16">
        <v>4336304</v>
      </c>
      <c r="U18" s="16">
        <v>1238104</v>
      </c>
      <c r="V18" s="16">
        <v>15937744</v>
      </c>
      <c r="W18" s="17">
        <v>70.369831250000004</v>
      </c>
      <c r="X18" s="17">
        <v>72.947381249999907</v>
      </c>
      <c r="Y18" s="17">
        <v>37.033359375000003</v>
      </c>
      <c r="Z18" s="17">
        <v>46.129693750000001</v>
      </c>
      <c r="AA18" s="17">
        <v>46.645259375000002</v>
      </c>
      <c r="AB18" s="18">
        <v>607.78800000000001</v>
      </c>
      <c r="AC18" s="18">
        <v>537.05799999999999</v>
      </c>
      <c r="AD18" s="18">
        <v>2033.27</v>
      </c>
      <c r="AE18" s="18">
        <v>9.8119999999999994</v>
      </c>
      <c r="AG18" s="13">
        <f t="shared" si="6"/>
        <v>19.982317500000001</v>
      </c>
      <c r="AH18" s="14">
        <f t="shared" si="7"/>
        <v>6.6073007711368245E-2</v>
      </c>
      <c r="AI18" s="14">
        <f t="shared" si="8"/>
        <v>1.7409830290181859E-2</v>
      </c>
      <c r="AJ18" s="14">
        <f t="shared" si="9"/>
        <v>1.3571815670843606E-2</v>
      </c>
      <c r="AK18" s="14">
        <f t="shared" si="10"/>
        <v>4.8663177421186386E-2</v>
      </c>
      <c r="AL18" s="11">
        <f t="shared" si="11"/>
        <v>5616232</v>
      </c>
      <c r="AM18" s="14">
        <v>-12</v>
      </c>
      <c r="AN18" s="15"/>
      <c r="AO18" s="15"/>
      <c r="AP18" s="15"/>
      <c r="AQ18" s="16">
        <v>21314472</v>
      </c>
      <c r="AR18" s="16">
        <v>4378128</v>
      </c>
      <c r="AS18" s="16">
        <v>1238104</v>
      </c>
      <c r="AT18" s="16">
        <v>15698240</v>
      </c>
      <c r="AU18" s="17">
        <v>70.344959375000002</v>
      </c>
      <c r="AV18" s="17">
        <v>72.908346875000007</v>
      </c>
      <c r="AW18" s="17">
        <v>36.855534374999998</v>
      </c>
      <c r="AX18" s="17">
        <v>46.250468749999897</v>
      </c>
      <c r="AY18" s="17">
        <v>46.7698437499999</v>
      </c>
      <c r="AZ18" s="18">
        <v>186.07300000000001</v>
      </c>
      <c r="BA18" s="18">
        <v>212.24199999999999</v>
      </c>
      <c r="BB18" s="18">
        <v>1273.77</v>
      </c>
      <c r="BC18" s="18">
        <v>9.875</v>
      </c>
      <c r="BE18" s="43">
        <f t="shared" si="12"/>
        <v>1.0075028594964701</v>
      </c>
      <c r="BF18" s="19" t="e">
        <f t="shared" si="13"/>
        <v>#DIV/0!</v>
      </c>
      <c r="BG18" s="19">
        <f t="shared" si="14"/>
        <v>4.3655075325325643E-3</v>
      </c>
      <c r="BH18" s="19"/>
      <c r="BJ18" s="43"/>
      <c r="BK18" s="43"/>
      <c r="BL18" s="43"/>
      <c r="BM18" s="43"/>
      <c r="BN18" s="43"/>
      <c r="BP18" s="43"/>
      <c r="BQ18" s="43"/>
      <c r="BR18" s="43"/>
      <c r="BS18" s="43"/>
      <c r="BT18" s="43"/>
      <c r="BV18" s="51">
        <f t="shared" si="20"/>
        <v>0.69385213265151668</v>
      </c>
      <c r="BW18" s="51">
        <f t="shared" si="15"/>
        <v>0.60480618480685522</v>
      </c>
      <c r="BX18" s="51">
        <f t="shared" si="15"/>
        <v>0.37353622489880833</v>
      </c>
      <c r="BY18" s="51">
        <f t="shared" si="16"/>
        <v>0.64932915872918595</v>
      </c>
      <c r="BZ18" s="55"/>
      <c r="CA18" s="51"/>
      <c r="CC18" s="57"/>
    </row>
    <row r="19" spans="1:84" ht="14.25" outlineLevel="1" thickBot="1" x14ac:dyDescent="0.2">
      <c r="A19" s="46"/>
      <c r="B19" s="20" t="s">
        <v>23</v>
      </c>
      <c r="C19" s="21" t="s">
        <v>148</v>
      </c>
      <c r="D19" s="20">
        <v>322589704</v>
      </c>
      <c r="E19" s="21">
        <v>10</v>
      </c>
      <c r="F19" s="21">
        <v>32</v>
      </c>
      <c r="G19" s="21">
        <v>30</v>
      </c>
      <c r="I19" s="22">
        <f t="shared" si="0"/>
        <v>35.688764999999997</v>
      </c>
      <c r="J19" s="23">
        <f t="shared" si="1"/>
        <v>0.11800753566518044</v>
      </c>
      <c r="K19" s="23">
        <f t="shared" si="2"/>
        <v>2.7760638014659018E-2</v>
      </c>
      <c r="L19" s="23">
        <f t="shared" si="3"/>
        <v>2.064958651005179E-2</v>
      </c>
      <c r="M19" s="23">
        <f t="shared" si="4"/>
        <v>9.0246897650521421E-2</v>
      </c>
      <c r="N19" s="20">
        <f t="shared" si="5"/>
        <v>8955296</v>
      </c>
      <c r="O19" s="23">
        <v>-12</v>
      </c>
      <c r="P19" s="24">
        <v>33040002</v>
      </c>
      <c r="Q19" s="24">
        <v>1032500.0625</v>
      </c>
      <c r="R19" s="24">
        <v>17720.5</v>
      </c>
      <c r="S19" s="25">
        <v>38068016</v>
      </c>
      <c r="T19" s="25">
        <v>6661344</v>
      </c>
      <c r="U19" s="25">
        <v>2293952</v>
      </c>
      <c r="V19" s="25">
        <v>29112720</v>
      </c>
      <c r="W19" s="26">
        <v>71.147937499999898</v>
      </c>
      <c r="X19" s="26">
        <v>75.002496874999906</v>
      </c>
      <c r="Y19" s="26">
        <v>39.495606249999902</v>
      </c>
      <c r="Z19" s="26">
        <v>47.874012499999999</v>
      </c>
      <c r="AA19" s="26">
        <v>48.468343750000003</v>
      </c>
      <c r="AB19" s="27">
        <v>675.197</v>
      </c>
      <c r="AC19" s="27">
        <v>651.59500000000003</v>
      </c>
      <c r="AD19" s="27">
        <v>2228.9499999999998</v>
      </c>
      <c r="AE19" s="27">
        <v>9.89</v>
      </c>
      <c r="AG19" s="22">
        <f t="shared" si="6"/>
        <v>35.435594999999999</v>
      </c>
      <c r="AH19" s="23">
        <f t="shared" si="7"/>
        <v>0.11717041037366772</v>
      </c>
      <c r="AI19" s="23">
        <f t="shared" si="8"/>
        <v>2.7791091559450389E-2</v>
      </c>
      <c r="AJ19" s="23">
        <f t="shared" si="9"/>
        <v>2.0680040054843165E-2</v>
      </c>
      <c r="AK19" s="23">
        <f t="shared" si="10"/>
        <v>8.9379318814217332E-2</v>
      </c>
      <c r="AL19" s="20">
        <f t="shared" si="11"/>
        <v>8965120</v>
      </c>
      <c r="AM19" s="23">
        <v>-12</v>
      </c>
      <c r="AN19" s="24"/>
      <c r="AO19" s="24"/>
      <c r="AP19" s="24"/>
      <c r="AQ19" s="25">
        <v>37797968</v>
      </c>
      <c r="AR19" s="25">
        <v>6671168</v>
      </c>
      <c r="AS19" s="25">
        <v>2293952</v>
      </c>
      <c r="AT19" s="25">
        <v>28832848</v>
      </c>
      <c r="AU19" s="26">
        <v>71.130996874999994</v>
      </c>
      <c r="AV19" s="26">
        <v>74.971603125000001</v>
      </c>
      <c r="AW19" s="26">
        <v>39.355021874999998</v>
      </c>
      <c r="AX19" s="26">
        <v>47.948081249999902</v>
      </c>
      <c r="AY19" s="26">
        <v>48.554190624999997</v>
      </c>
      <c r="AZ19" s="27">
        <v>262.00099999999998</v>
      </c>
      <c r="BA19" s="27">
        <v>364.34</v>
      </c>
      <c r="BB19" s="27">
        <v>1512.83</v>
      </c>
      <c r="BC19" s="27">
        <v>9.859</v>
      </c>
      <c r="BE19" s="28">
        <f t="shared" si="12"/>
        <v>1.0010970044987904</v>
      </c>
      <c r="BF19" s="29" t="e">
        <f t="shared" si="13"/>
        <v>#DIV/0!</v>
      </c>
      <c r="BG19" s="29">
        <f t="shared" si="14"/>
        <v>1.9406159463168926E-3</v>
      </c>
      <c r="BH19" s="29"/>
      <c r="BJ19" s="28"/>
      <c r="BK19" s="28"/>
      <c r="BL19" s="28"/>
      <c r="BM19" s="28"/>
      <c r="BN19" s="28"/>
      <c r="BP19" s="28"/>
      <c r="BQ19" s="28"/>
      <c r="BR19" s="28"/>
      <c r="BS19" s="28"/>
      <c r="BT19" s="28"/>
      <c r="BV19" s="51">
        <f t="shared" si="20"/>
        <v>0.61196361950660327</v>
      </c>
      <c r="BW19" s="51">
        <f t="shared" si="15"/>
        <v>0.44084899362333974</v>
      </c>
      <c r="BX19" s="51">
        <f t="shared" si="15"/>
        <v>0.32128132080127414</v>
      </c>
      <c r="BY19" s="51">
        <f t="shared" si="16"/>
        <v>0.52640630656497156</v>
      </c>
      <c r="BZ19" s="55">
        <f t="shared" ref="BZ19:CA19" si="21">AVERAGE(BV15:BV19)</f>
        <v>0.70139350501945119</v>
      </c>
      <c r="CA19" s="51">
        <f t="shared" si="21"/>
        <v>0.63797395002240231</v>
      </c>
      <c r="CB19" s="51">
        <f>AVERAGE(BX15:BX19)</f>
        <v>0.36883572421843153</v>
      </c>
      <c r="CC19" s="58">
        <f>AVERAGE(BY15:BY19)</f>
        <v>0.66968372752092675</v>
      </c>
      <c r="CD19" s="51">
        <f t="shared" ref="CD19:CE19" si="22">(SUM(AB15:AB19)-SUM(AZ15:AZ19))/SUM(AB15:AB19)</f>
        <v>0.69588825298638268</v>
      </c>
      <c r="CE19" s="51">
        <f t="shared" si="22"/>
        <v>0.61871599677788502</v>
      </c>
      <c r="CF19" s="51">
        <f t="shared" ref="CF19" si="23">(SUM(AB15:AC19)-SUM(AZ15:BA19))/SUM(AB15:AC19)</f>
        <v>0.65973853972907648</v>
      </c>
    </row>
    <row r="20" spans="1:84" x14ac:dyDescent="0.15">
      <c r="A20" s="11"/>
      <c r="B20" s="11" t="s">
        <v>26</v>
      </c>
      <c r="C20" s="12" t="s">
        <v>144</v>
      </c>
      <c r="D20" s="11">
        <v>250602891</v>
      </c>
      <c r="E20" s="12">
        <v>10</v>
      </c>
      <c r="F20" s="12">
        <v>32</v>
      </c>
      <c r="G20" s="12">
        <v>50</v>
      </c>
      <c r="I20" s="13">
        <f t="shared" si="0"/>
        <v>5.0936000000000003</v>
      </c>
      <c r="J20" s="14">
        <f t="shared" si="1"/>
        <v>1.3008245782767127E-2</v>
      </c>
      <c r="K20" s="14">
        <f t="shared" si="2"/>
        <v>7.583088895810065E-3</v>
      </c>
      <c r="L20" s="14">
        <f t="shared" si="3"/>
        <v>3.7914646403660202E-3</v>
      </c>
      <c r="M20" s="14">
        <f t="shared" si="4"/>
        <v>5.425156886957062E-3</v>
      </c>
      <c r="N20" s="11">
        <f t="shared" si="5"/>
        <v>1900344</v>
      </c>
      <c r="O20" s="14">
        <v>-12</v>
      </c>
      <c r="P20" s="15">
        <v>30202618</v>
      </c>
      <c r="Q20" s="15">
        <v>943831.8125</v>
      </c>
      <c r="R20" s="15">
        <v>27795.1875</v>
      </c>
      <c r="S20" s="16">
        <v>3259904</v>
      </c>
      <c r="T20" s="16">
        <v>950152</v>
      </c>
      <c r="U20" s="16">
        <v>950192</v>
      </c>
      <c r="V20" s="16">
        <v>1359560</v>
      </c>
      <c r="W20" s="17">
        <v>67.119896874999995</v>
      </c>
      <c r="X20" s="17">
        <v>68.826574999999906</v>
      </c>
      <c r="Y20" s="17">
        <v>30.701740624999999</v>
      </c>
      <c r="Z20" s="17">
        <v>39.504118749999897</v>
      </c>
      <c r="AA20" s="17">
        <v>38.223546874999997</v>
      </c>
      <c r="AB20" s="18">
        <v>517.50800000000004</v>
      </c>
      <c r="AC20" s="18">
        <v>460.06200000000001</v>
      </c>
      <c r="AD20" s="18">
        <v>1816.06</v>
      </c>
      <c r="AE20" s="18">
        <v>10.875</v>
      </c>
      <c r="AG20" s="13">
        <f t="shared" si="6"/>
        <v>5.1328125</v>
      </c>
      <c r="AH20" s="14">
        <f t="shared" si="7"/>
        <v>1.3108388282719373E-2</v>
      </c>
      <c r="AI20" s="14">
        <f t="shared" si="8"/>
        <v>7.6465199278167948E-3</v>
      </c>
      <c r="AJ20" s="14">
        <f t="shared" si="9"/>
        <v>3.85489567237275E-3</v>
      </c>
      <c r="AK20" s="14">
        <f t="shared" si="10"/>
        <v>5.4618683549025777E-3</v>
      </c>
      <c r="AL20" s="11">
        <f t="shared" si="11"/>
        <v>1916240</v>
      </c>
      <c r="AM20" s="14">
        <v>-12</v>
      </c>
      <c r="AN20" s="15"/>
      <c r="AO20" s="15"/>
      <c r="AP20" s="15"/>
      <c r="AQ20" s="16">
        <v>3285000</v>
      </c>
      <c r="AR20" s="16">
        <v>966048</v>
      </c>
      <c r="AS20" s="16">
        <v>950192</v>
      </c>
      <c r="AT20" s="16">
        <v>1368760</v>
      </c>
      <c r="AU20" s="17">
        <v>67.075256249999995</v>
      </c>
      <c r="AV20" s="17">
        <v>68.755953125000005</v>
      </c>
      <c r="AW20" s="17">
        <v>30.557606249999999</v>
      </c>
      <c r="AX20" s="17">
        <v>39.425312499999897</v>
      </c>
      <c r="AY20" s="17">
        <v>38.0780687499999</v>
      </c>
      <c r="AZ20" s="18">
        <v>120.986</v>
      </c>
      <c r="BA20" s="18">
        <v>96.801000000000002</v>
      </c>
      <c r="BB20" s="18">
        <v>1057.6099999999999</v>
      </c>
      <c r="BC20" s="18">
        <v>10.936999999999999</v>
      </c>
      <c r="BE20" s="43">
        <f t="shared" si="12"/>
        <v>1.008364801320182</v>
      </c>
      <c r="BF20" s="19" t="e">
        <f t="shared" si="13"/>
        <v>#DIV/0!</v>
      </c>
      <c r="BG20" s="19">
        <f t="shared" si="14"/>
        <v>3.8551535947217719E-4</v>
      </c>
      <c r="BH20" s="19">
        <f t="array" ref="BH20">AVERAGE(AL20:AL24/AQ20:AQ24) - AVERAGE(N20:N24/S20:S24)</f>
        <v>2.6107525424691747E-3</v>
      </c>
      <c r="BJ20" s="43">
        <f>IF( OR(ISBLANK(N20:N24),ISBLANK(AL20:AL24), ISBLANK(W20:W24),ISBLANK(AU20:AU24)), "·", bdRateExtend( N20:N24,W20:W24, AL20:AL24,AU20:AU24))</f>
        <v>1.7140935421597669E-2</v>
      </c>
      <c r="BK20" s="43">
        <f>IF( OR(ISBLANK(N20:N24),ISBLANK(AL20:AL24), ISBLANK(X20:X24),ISBLANK(AV20:AV24)), "·", bdRateExtend( N20:N24,X20:X24, AL20:AL24,AV20:AV24))</f>
        <v>1.6066694729276465E-2</v>
      </c>
      <c r="BL20" s="43">
        <f>IF( OR(ISBLANK(V20:V24),ISBLANK(AT20:AT24), ISBLANK(Y20:Y24),ISBLANK(AW20:AW24)), "·", bdRateExtend( V20:V24,Y20:Y24, AT20:AT24,AW20:AW24))</f>
        <v>0.12920596671626794</v>
      </c>
      <c r="BM20" s="43">
        <f>IF( OR(ISBLANK(V20:V24),ISBLANK(AT20:AT24), ISBLANK(Z20:Z24),ISBLANK(AX20:AX24)), "·", bdRateExtend( V20:V24,Z20:Z24, AT20:AT24,AX20:AX24))</f>
        <v>2.433102753118388E-2</v>
      </c>
      <c r="BN20" s="43">
        <f>IF( OR(ISBLANK(V20:V24),ISBLANK(AT20:AT24), ISBLANK(AA20:AA24),ISBLANK(AY20:AY24)), "·", bdRateExtend( V20:V24,AA20:AA24, AT20:AT24,AY20:AY24))</f>
        <v>5.9384546657131887E-2</v>
      </c>
      <c r="BP20" s="43">
        <f>IF( OR(ISBLANK(S20:S24),ISBLANK(AQ20:AQ24), ISBLANK(W20:W24),ISBLANK(AU20:AU24)), "·", bdRateExtend( S20:S24,W20:W24, AQ20:AQ24,AU20:AU24))</f>
        <v>1.8740828333621451E-2</v>
      </c>
      <c r="BQ20" s="43">
        <f>IF( OR(ISBLANK(S20:S24),ISBLANK(AQ20:AQ24), ISBLANK(X20:X24),ISBLANK(AV20:AV24)), "·", bdRateExtend( S20:S24,X20:X24, AQ20:AQ24,AV20:AV24))</f>
        <v>1.9481558849374192E-2</v>
      </c>
      <c r="BR20" s="43">
        <f>IF( OR(ISBLANK(S20:S24),ISBLANK(AQ20:AQ24), ISBLANK(Y20:Y24),ISBLANK(AW20:AW24)), "·", bdRateExtend( S20:S24,Y20:Y24, AQ20:AQ24,AW20:AW24))</f>
        <v>9.8448250281883976E-2</v>
      </c>
      <c r="BS20" s="43">
        <f>IF( OR(ISBLANK(S20:S24),ISBLANK(AQ20:AQ24), ISBLANK(Z20:Z24),ISBLANK(AX20:AX24)), "·", bdRateExtend( S20:S24,Z20:Z24, AQ20:AQ24,AX20:AX24))</f>
        <v>2.1805547552237403E-2</v>
      </c>
      <c r="BT20" s="43">
        <f>IF( OR(ISBLANK(S20:S24),ISBLANK(AQ20:AQ24), ISBLANK(AA20:AA24),ISBLANK(AY20:AY24)), "·", bdRateExtend( S20:S24,AA20:AA24, AQ20:AQ24,AY20:AY24))</f>
        <v>4.654697060895252E-2</v>
      </c>
      <c r="BV20" s="51">
        <f t="shared" si="20"/>
        <v>0.76621424209867295</v>
      </c>
      <c r="BW20" s="51">
        <f t="shared" si="15"/>
        <v>0.78959140289787033</v>
      </c>
      <c r="BX20" s="51">
        <f t="shared" si="15"/>
        <v>0.41763487990484899</v>
      </c>
      <c r="BY20" s="51">
        <f t="shared" si="16"/>
        <v>0.77790282249827158</v>
      </c>
      <c r="BZ20" s="55"/>
      <c r="CA20" s="51"/>
      <c r="CC20" s="57"/>
    </row>
    <row r="21" spans="1:84" outlineLevel="1" x14ac:dyDescent="0.15">
      <c r="A21" s="46"/>
      <c r="B21" s="46" t="s">
        <v>26</v>
      </c>
      <c r="C21" s="3" t="s">
        <v>145</v>
      </c>
      <c r="D21" s="46">
        <v>250602891</v>
      </c>
      <c r="E21" s="3">
        <v>10</v>
      </c>
      <c r="F21" s="3">
        <v>32</v>
      </c>
      <c r="G21" s="3">
        <v>50</v>
      </c>
      <c r="I21" s="4">
        <f t="shared" si="0"/>
        <v>7.5828249999999997</v>
      </c>
      <c r="J21" s="5">
        <f t="shared" si="1"/>
        <v>1.9365331264275001E-2</v>
      </c>
      <c r="K21" s="5">
        <f t="shared" si="2"/>
        <v>9.0187626766045567E-3</v>
      </c>
      <c r="L21" s="5">
        <f t="shared" si="3"/>
        <v>5.2271384211605128E-3</v>
      </c>
      <c r="M21" s="5">
        <f t="shared" si="4"/>
        <v>1.0346568587670442E-2</v>
      </c>
      <c r="N21" s="46">
        <f t="shared" si="5"/>
        <v>2260128</v>
      </c>
      <c r="O21" s="5">
        <v>-12</v>
      </c>
      <c r="P21" s="6">
        <v>31470210</v>
      </c>
      <c r="Q21" s="6">
        <v>983444.0625</v>
      </c>
      <c r="R21" s="6">
        <v>32994.5</v>
      </c>
      <c r="S21" s="7">
        <v>4853008</v>
      </c>
      <c r="T21" s="7">
        <v>1309936</v>
      </c>
      <c r="U21" s="7">
        <v>950192</v>
      </c>
      <c r="V21" s="7">
        <v>2592880</v>
      </c>
      <c r="W21" s="8">
        <v>68.687637499999994</v>
      </c>
      <c r="X21" s="8">
        <v>70.768968749999999</v>
      </c>
      <c r="Y21" s="8">
        <v>32.499071874999998</v>
      </c>
      <c r="Z21" s="8">
        <v>40.637934375</v>
      </c>
      <c r="AA21" s="8">
        <v>39.554534375000003</v>
      </c>
      <c r="AB21" s="9">
        <v>557.04</v>
      </c>
      <c r="AC21" s="9">
        <v>476.26299999999998</v>
      </c>
      <c r="AD21" s="9">
        <v>1871.19</v>
      </c>
      <c r="AE21" s="9">
        <v>11.061999999999999</v>
      </c>
      <c r="AG21" s="4">
        <f t="shared" si="6"/>
        <v>7.4288749999999997</v>
      </c>
      <c r="AH21" s="5">
        <f t="shared" si="7"/>
        <v>1.8972167404086332E-2</v>
      </c>
      <c r="AI21" s="5">
        <f t="shared" si="8"/>
        <v>9.0692010412601349E-3</v>
      </c>
      <c r="AJ21" s="5">
        <f t="shared" si="9"/>
        <v>5.2775767858160901E-3</v>
      </c>
      <c r="AK21" s="5">
        <f t="shared" si="10"/>
        <v>9.9029663628261971E-3</v>
      </c>
      <c r="AL21" s="46">
        <f t="shared" si="11"/>
        <v>2272768</v>
      </c>
      <c r="AM21" s="5">
        <v>-12</v>
      </c>
      <c r="AN21" s="6"/>
      <c r="AO21" s="6"/>
      <c r="AP21" s="6"/>
      <c r="AQ21" s="7">
        <v>4754480</v>
      </c>
      <c r="AR21" s="7">
        <v>1322576</v>
      </c>
      <c r="AS21" s="7">
        <v>950192</v>
      </c>
      <c r="AT21" s="7">
        <v>2481712</v>
      </c>
      <c r="AU21" s="8">
        <v>68.619234375000005</v>
      </c>
      <c r="AV21" s="8">
        <v>70.668334375000001</v>
      </c>
      <c r="AW21" s="8">
        <v>32.008959374999897</v>
      </c>
      <c r="AX21" s="8">
        <v>40.549346874999998</v>
      </c>
      <c r="AY21" s="8">
        <v>39.371956249999997</v>
      </c>
      <c r="AZ21" s="9">
        <v>128.30000000000001</v>
      </c>
      <c r="BA21" s="9">
        <v>105.791</v>
      </c>
      <c r="BB21" s="9">
        <v>1076.7</v>
      </c>
      <c r="BC21" s="9">
        <v>10.859</v>
      </c>
      <c r="BE21" s="44">
        <f t="shared" si="12"/>
        <v>1.0055926036047516</v>
      </c>
      <c r="BF21" s="10" t="e">
        <f t="shared" si="13"/>
        <v>#DIV/0!</v>
      </c>
      <c r="BG21" s="10">
        <f t="shared" si="14"/>
        <v>1.2309686430998834E-2</v>
      </c>
      <c r="BH21" s="10"/>
      <c r="BJ21" s="44"/>
      <c r="BK21" s="44"/>
      <c r="BL21" s="44"/>
      <c r="BM21" s="44"/>
      <c r="BN21" s="44"/>
      <c r="BP21" s="44"/>
      <c r="BQ21" s="44"/>
      <c r="BR21" s="44"/>
      <c r="BS21" s="44"/>
      <c r="BT21" s="44"/>
      <c r="BV21" s="51">
        <f t="shared" si="20"/>
        <v>0.76967542725836557</v>
      </c>
      <c r="BW21" s="51">
        <f>(AC21-BA21)/AC21</f>
        <v>0.77787272998322354</v>
      </c>
      <c r="BX21" s="51">
        <f t="shared" si="20"/>
        <v>0.42459076844147309</v>
      </c>
      <c r="BY21" s="51">
        <f t="shared" si="16"/>
        <v>0.7737740786207945</v>
      </c>
      <c r="BZ21" s="55"/>
      <c r="CA21" s="51"/>
      <c r="CC21" s="57"/>
    </row>
    <row r="22" spans="1:84" outlineLevel="1" x14ac:dyDescent="0.15">
      <c r="A22" s="11"/>
      <c r="B22" s="11" t="s">
        <v>26</v>
      </c>
      <c r="C22" s="12" t="s">
        <v>146</v>
      </c>
      <c r="D22" s="11">
        <v>250602891</v>
      </c>
      <c r="E22" s="12">
        <v>10</v>
      </c>
      <c r="F22" s="12">
        <v>32</v>
      </c>
      <c r="G22" s="12">
        <v>50</v>
      </c>
      <c r="I22" s="13">
        <f t="shared" si="0"/>
        <v>12.3580875</v>
      </c>
      <c r="J22" s="14">
        <f t="shared" si="1"/>
        <v>3.1560593608634786E-2</v>
      </c>
      <c r="K22" s="14">
        <f t="shared" si="2"/>
        <v>1.1265089515667239E-2</v>
      </c>
      <c r="L22" s="14">
        <f t="shared" si="3"/>
        <v>7.4734652602231949E-3</v>
      </c>
      <c r="M22" s="14">
        <f t="shared" si="4"/>
        <v>2.0295504092967546E-2</v>
      </c>
      <c r="N22" s="11">
        <f t="shared" si="5"/>
        <v>2823064</v>
      </c>
      <c r="O22" s="14">
        <v>-12</v>
      </c>
      <c r="P22" s="15">
        <v>32774469</v>
      </c>
      <c r="Q22" s="15">
        <v>1024202.15625</v>
      </c>
      <c r="R22" s="15">
        <v>35190.1875</v>
      </c>
      <c r="S22" s="16">
        <v>7909176</v>
      </c>
      <c r="T22" s="16">
        <v>1872872</v>
      </c>
      <c r="U22" s="16">
        <v>950192</v>
      </c>
      <c r="V22" s="16">
        <v>5086112</v>
      </c>
      <c r="W22" s="17">
        <v>69.849543749999995</v>
      </c>
      <c r="X22" s="17">
        <v>72.244293749999898</v>
      </c>
      <c r="Y22" s="17">
        <v>34.215484375000003</v>
      </c>
      <c r="Z22" s="17">
        <v>41.679962499999903</v>
      </c>
      <c r="AA22" s="17">
        <v>40.578524999999999</v>
      </c>
      <c r="AB22" s="18">
        <v>586.04899999999998</v>
      </c>
      <c r="AC22" s="18">
        <v>501.37400000000002</v>
      </c>
      <c r="AD22" s="18">
        <v>1928.45</v>
      </c>
      <c r="AE22" s="18">
        <v>10.718</v>
      </c>
      <c r="AG22" s="13">
        <f t="shared" si="6"/>
        <v>12.340562500000001</v>
      </c>
      <c r="AH22" s="14">
        <f t="shared" si="7"/>
        <v>3.1515837540756861E-2</v>
      </c>
      <c r="AI22" s="14">
        <f t="shared" si="8"/>
        <v>1.1327562857205825E-2</v>
      </c>
      <c r="AJ22" s="14">
        <f t="shared" si="9"/>
        <v>7.5359386017617809E-3</v>
      </c>
      <c r="AK22" s="14">
        <f t="shared" si="10"/>
        <v>2.0188274683551038E-2</v>
      </c>
      <c r="AL22" s="11">
        <f t="shared" si="11"/>
        <v>2838720</v>
      </c>
      <c r="AM22" s="14">
        <v>-12</v>
      </c>
      <c r="AN22" s="15"/>
      <c r="AO22" s="15"/>
      <c r="AP22" s="15"/>
      <c r="AQ22" s="16">
        <v>7897960</v>
      </c>
      <c r="AR22" s="16">
        <v>1888528</v>
      </c>
      <c r="AS22" s="16">
        <v>950192</v>
      </c>
      <c r="AT22" s="16">
        <v>5059240</v>
      </c>
      <c r="AU22" s="17">
        <v>69.764024999999904</v>
      </c>
      <c r="AV22" s="17">
        <v>72.121478124999996</v>
      </c>
      <c r="AW22" s="17">
        <v>33.812431249999896</v>
      </c>
      <c r="AX22" s="17">
        <v>41.6108218749999</v>
      </c>
      <c r="AY22" s="17">
        <v>40.444459374999902</v>
      </c>
      <c r="AZ22" s="18">
        <v>140.53200000000001</v>
      </c>
      <c r="BA22" s="18">
        <v>135.74100000000001</v>
      </c>
      <c r="BB22" s="18">
        <v>1119.4100000000001</v>
      </c>
      <c r="BC22" s="18">
        <v>10.968</v>
      </c>
      <c r="BE22" s="43">
        <f t="shared" si="12"/>
        <v>1.0055457474573726</v>
      </c>
      <c r="BF22" s="19" t="e">
        <f t="shared" si="13"/>
        <v>#DIV/0!</v>
      </c>
      <c r="BG22" s="19">
        <f t="shared" si="14"/>
        <v>2.4891726687906734E-3</v>
      </c>
      <c r="BH22" s="19"/>
      <c r="BJ22" s="43"/>
      <c r="BK22" s="43"/>
      <c r="BL22" s="43"/>
      <c r="BM22" s="43"/>
      <c r="BN22" s="43"/>
      <c r="BP22" s="43"/>
      <c r="BQ22" s="43"/>
      <c r="BR22" s="43"/>
      <c r="BS22" s="43"/>
      <c r="BT22" s="43"/>
      <c r="BV22" s="51">
        <f t="shared" si="20"/>
        <v>0.76020435151326926</v>
      </c>
      <c r="BW22" s="51">
        <f t="shared" si="20"/>
        <v>0.72926198805681985</v>
      </c>
      <c r="BX22" s="51">
        <f t="shared" si="20"/>
        <v>0.41952863698825477</v>
      </c>
      <c r="BY22" s="51">
        <f t="shared" si="16"/>
        <v>0.74473316978504456</v>
      </c>
      <c r="BZ22" s="55"/>
      <c r="CA22" s="51"/>
      <c r="CC22" s="57"/>
    </row>
    <row r="23" spans="1:84" outlineLevel="1" x14ac:dyDescent="0.15">
      <c r="A23" s="46"/>
      <c r="B23" s="46" t="s">
        <v>26</v>
      </c>
      <c r="C23" s="3" t="s">
        <v>147</v>
      </c>
      <c r="D23" s="46">
        <v>250602891</v>
      </c>
      <c r="E23" s="3">
        <v>10</v>
      </c>
      <c r="F23" s="3">
        <v>32</v>
      </c>
      <c r="G23" s="3">
        <v>50</v>
      </c>
      <c r="I23" s="4">
        <f t="shared" si="0"/>
        <v>22.005125</v>
      </c>
      <c r="J23" s="5">
        <f t="shared" si="1"/>
        <v>5.619759590083899E-2</v>
      </c>
      <c r="K23" s="5">
        <f t="shared" si="2"/>
        <v>1.5193503892977835E-2</v>
      </c>
      <c r="L23" s="5">
        <f t="shared" si="3"/>
        <v>1.140187963753379E-2</v>
      </c>
      <c r="M23" s="5">
        <f t="shared" si="4"/>
        <v>4.1004092007861155E-2</v>
      </c>
      <c r="N23" s="46">
        <f t="shared" si="5"/>
        <v>3807536</v>
      </c>
      <c r="O23" s="5">
        <v>-12</v>
      </c>
      <c r="P23" s="6">
        <v>32769151</v>
      </c>
      <c r="Q23" s="6">
        <v>1024035.96875</v>
      </c>
      <c r="R23" s="6">
        <v>36890.875</v>
      </c>
      <c r="S23" s="7">
        <v>14083280</v>
      </c>
      <c r="T23" s="7">
        <v>2857344</v>
      </c>
      <c r="U23" s="7">
        <v>950192</v>
      </c>
      <c r="V23" s="7">
        <v>10275744</v>
      </c>
      <c r="W23" s="8">
        <v>70.891781249999894</v>
      </c>
      <c r="X23" s="8">
        <v>73.621353124999999</v>
      </c>
      <c r="Y23" s="8">
        <v>35.690490625000002</v>
      </c>
      <c r="Z23" s="8">
        <v>42.822521875</v>
      </c>
      <c r="AA23" s="8">
        <v>41.617903124999998</v>
      </c>
      <c r="AB23" s="9">
        <v>633.92999999999995</v>
      </c>
      <c r="AC23" s="9">
        <v>544.75</v>
      </c>
      <c r="AD23" s="9">
        <v>2017</v>
      </c>
      <c r="AE23" s="9">
        <v>10.656000000000001</v>
      </c>
      <c r="AG23" s="4">
        <f t="shared" si="6"/>
        <v>22.335537500000001</v>
      </c>
      <c r="AH23" s="5">
        <f t="shared" si="7"/>
        <v>5.7041416972320562E-2</v>
      </c>
      <c r="AI23" s="5">
        <f t="shared" si="8"/>
        <v>1.5329974784688338E-2</v>
      </c>
      <c r="AJ23" s="5">
        <f t="shared" si="9"/>
        <v>1.1538350529244294E-2</v>
      </c>
      <c r="AK23" s="5">
        <f t="shared" si="10"/>
        <v>4.1711442187632224E-2</v>
      </c>
      <c r="AL23" s="46">
        <f t="shared" si="11"/>
        <v>3841736</v>
      </c>
      <c r="AM23" s="5">
        <v>-12</v>
      </c>
      <c r="AN23" s="6"/>
      <c r="AO23" s="6"/>
      <c r="AP23" s="6"/>
      <c r="AQ23" s="7">
        <v>14294744</v>
      </c>
      <c r="AR23" s="7">
        <v>2891544</v>
      </c>
      <c r="AS23" s="7">
        <v>950192</v>
      </c>
      <c r="AT23" s="7">
        <v>10453008</v>
      </c>
      <c r="AU23" s="8">
        <v>70.872771874999998</v>
      </c>
      <c r="AV23" s="8">
        <v>73.597796875</v>
      </c>
      <c r="AW23" s="8">
        <v>35.557581249999998</v>
      </c>
      <c r="AX23" s="8">
        <v>42.809575000000002</v>
      </c>
      <c r="AY23" s="8">
        <v>41.598999999999997</v>
      </c>
      <c r="AZ23" s="9">
        <v>157.69399999999999</v>
      </c>
      <c r="BA23" s="9">
        <v>184.83199999999999</v>
      </c>
      <c r="BB23" s="9">
        <v>1185.27</v>
      </c>
      <c r="BC23" s="9">
        <v>10.781000000000001</v>
      </c>
      <c r="BE23" s="44">
        <f t="shared" si="12"/>
        <v>1.0089821869051272</v>
      </c>
      <c r="BF23" s="10" t="e">
        <f t="shared" si="13"/>
        <v>#DIV/0!</v>
      </c>
      <c r="BG23" s="10">
        <f t="shared" si="14"/>
        <v>-1.606962183397731E-3</v>
      </c>
      <c r="BH23" s="10"/>
      <c r="BJ23" s="44"/>
      <c r="BK23" s="44"/>
      <c r="BL23" s="44"/>
      <c r="BM23" s="44"/>
      <c r="BN23" s="44"/>
      <c r="BP23" s="44"/>
      <c r="BQ23" s="44"/>
      <c r="BR23" s="44"/>
      <c r="BS23" s="44"/>
      <c r="BT23" s="44"/>
      <c r="BV23" s="51">
        <f t="shared" si="20"/>
        <v>0.75124382818292246</v>
      </c>
      <c r="BW23" s="51">
        <f t="shared" si="20"/>
        <v>0.66070307480495638</v>
      </c>
      <c r="BX23" s="51">
        <f t="shared" si="20"/>
        <v>0.41235994050570157</v>
      </c>
      <c r="BY23" s="51">
        <f t="shared" si="16"/>
        <v>0.70597345149393942</v>
      </c>
      <c r="BZ23" s="55"/>
      <c r="CA23" s="51"/>
      <c r="CC23" s="57"/>
    </row>
    <row r="24" spans="1:84" ht="14.25" outlineLevel="1" thickBot="1" x14ac:dyDescent="0.2">
      <c r="A24" s="30"/>
      <c r="B24" s="30" t="s">
        <v>26</v>
      </c>
      <c r="C24" s="31" t="s">
        <v>148</v>
      </c>
      <c r="D24" s="30">
        <v>250602891</v>
      </c>
      <c r="E24" s="31">
        <v>10</v>
      </c>
      <c r="F24" s="31">
        <v>32</v>
      </c>
      <c r="G24" s="31">
        <v>50</v>
      </c>
      <c r="I24" s="32">
        <f t="shared" si="0"/>
        <v>38.627387499999998</v>
      </c>
      <c r="J24" s="33">
        <f t="shared" si="1"/>
        <v>9.8648215514800269E-2</v>
      </c>
      <c r="K24" s="33">
        <f t="shared" si="2"/>
        <v>2.5280761824890519E-2</v>
      </c>
      <c r="L24" s="33">
        <f t="shared" si="3"/>
        <v>1.7958835119743291E-2</v>
      </c>
      <c r="M24" s="33">
        <f t="shared" si="4"/>
        <v>7.336745368990974E-2</v>
      </c>
      <c r="N24" s="30">
        <f t="shared" si="5"/>
        <v>6335432</v>
      </c>
      <c r="O24" s="33">
        <v>-12</v>
      </c>
      <c r="P24" s="34">
        <v>31405837</v>
      </c>
      <c r="Q24" s="34">
        <v>981432.40625</v>
      </c>
      <c r="R24" s="34">
        <v>18371.09375</v>
      </c>
      <c r="S24" s="35">
        <v>24721528</v>
      </c>
      <c r="T24" s="35">
        <v>4500536</v>
      </c>
      <c r="U24" s="35">
        <v>1834896</v>
      </c>
      <c r="V24" s="35">
        <v>18386096</v>
      </c>
      <c r="W24" s="36">
        <v>71.729621874999907</v>
      </c>
      <c r="X24" s="36">
        <v>75.643156249999905</v>
      </c>
      <c r="Y24" s="36">
        <v>36.543587500000001</v>
      </c>
      <c r="Z24" s="36">
        <v>43.589959374999999</v>
      </c>
      <c r="AA24" s="36">
        <v>42.051628125000001</v>
      </c>
      <c r="AB24" s="37">
        <v>679.25900000000001</v>
      </c>
      <c r="AC24" s="37">
        <v>624.96</v>
      </c>
      <c r="AD24" s="37">
        <v>2170.64</v>
      </c>
      <c r="AE24" s="37">
        <v>11.045999999999999</v>
      </c>
      <c r="AG24" s="32">
        <f t="shared" si="6"/>
        <v>38.682137500000003</v>
      </c>
      <c r="AH24" s="33">
        <f t="shared" si="7"/>
        <v>9.8788038323149266E-2</v>
      </c>
      <c r="AI24" s="33">
        <f t="shared" si="8"/>
        <v>2.5264864163119332E-2</v>
      </c>
      <c r="AJ24" s="33">
        <f t="shared" si="9"/>
        <v>1.7942937457972104E-2</v>
      </c>
      <c r="AK24" s="33">
        <f t="shared" si="10"/>
        <v>7.3523174160029944E-2</v>
      </c>
      <c r="AL24" s="30">
        <f t="shared" si="11"/>
        <v>6331448</v>
      </c>
      <c r="AM24" s="33">
        <v>-12</v>
      </c>
      <c r="AN24" s="34"/>
      <c r="AO24" s="34"/>
      <c r="AP24" s="34"/>
      <c r="AQ24" s="35">
        <v>24756568</v>
      </c>
      <c r="AR24" s="35">
        <v>4496552</v>
      </c>
      <c r="AS24" s="35">
        <v>1834896</v>
      </c>
      <c r="AT24" s="35">
        <v>18425120</v>
      </c>
      <c r="AU24" s="36">
        <v>71.719465624999998</v>
      </c>
      <c r="AV24" s="36">
        <v>75.632981249999901</v>
      </c>
      <c r="AW24" s="36">
        <v>36.524971874999999</v>
      </c>
      <c r="AX24" s="36">
        <v>43.603284374999902</v>
      </c>
      <c r="AY24" s="36">
        <v>42.072556249999998</v>
      </c>
      <c r="AZ24" s="37">
        <v>223.10400000000001</v>
      </c>
      <c r="BA24" s="37">
        <v>304.65800000000002</v>
      </c>
      <c r="BB24" s="37">
        <v>1386.27</v>
      </c>
      <c r="BC24" s="37">
        <v>10.920999999999999</v>
      </c>
      <c r="BE24" s="38">
        <f t="shared" si="12"/>
        <v>0.99937115574754809</v>
      </c>
      <c r="BF24" s="39" t="e">
        <f t="shared" si="13"/>
        <v>#DIV/0!</v>
      </c>
      <c r="BG24" s="39">
        <f t="shared" si="14"/>
        <v>-5.2364956351813596E-4</v>
      </c>
      <c r="BH24" s="39"/>
      <c r="BJ24" s="38"/>
      <c r="BK24" s="38"/>
      <c r="BL24" s="38"/>
      <c r="BM24" s="38"/>
      <c r="BN24" s="38"/>
      <c r="BP24" s="38"/>
      <c r="BQ24" s="38"/>
      <c r="BR24" s="38"/>
      <c r="BS24" s="38"/>
      <c r="BT24" s="38"/>
      <c r="BV24" s="52">
        <f>(AB24-AZ24)/AB24</f>
        <v>0.67154796623968172</v>
      </c>
      <c r="BW24" s="52">
        <f t="shared" si="20"/>
        <v>0.51251600102406558</v>
      </c>
      <c r="BX24" s="52">
        <f t="shared" si="20"/>
        <v>0.36135425496627721</v>
      </c>
      <c r="BY24" s="52">
        <f t="shared" si="16"/>
        <v>0.5920319836318737</v>
      </c>
      <c r="BZ24" s="55">
        <f>AVERAGE(BV20:BV24)</f>
        <v>0.74377716305858232</v>
      </c>
      <c r="CA24" s="51">
        <f>AVERAGE(BW20:BW24)</f>
        <v>0.69398903935338707</v>
      </c>
      <c r="CB24" s="51">
        <f>AVERAGE(BX20:BX24)</f>
        <v>0.40709369616131114</v>
      </c>
      <c r="CC24" s="58">
        <f>AVERAGE(BY20:BY24)</f>
        <v>0.71888310120598475</v>
      </c>
      <c r="CD24" s="51">
        <f t="shared" ref="CD24:CE24" si="24">(SUM(AB20:AB24)-SUM(AZ20:AZ24))/SUM(AB20:AB24)</f>
        <v>0.74086366671979764</v>
      </c>
      <c r="CE24" s="51">
        <f t="shared" si="24"/>
        <v>0.68251125926158884</v>
      </c>
      <c r="CF24" s="51">
        <f>(SUM(AB20:AC24)-SUM(AZ20:BA24))/SUM(AB20:AC24)</f>
        <v>0.7136027320314019</v>
      </c>
    </row>
    <row r="25" spans="1:84" x14ac:dyDescent="0.15">
      <c r="A25" s="46" t="s">
        <v>149</v>
      </c>
      <c r="B25" s="46" t="s">
        <v>27</v>
      </c>
      <c r="C25" s="3" t="s">
        <v>144</v>
      </c>
      <c r="D25" s="46">
        <v>250294582</v>
      </c>
      <c r="E25" s="3">
        <v>10</v>
      </c>
      <c r="F25" s="3">
        <v>32</v>
      </c>
      <c r="G25" s="3">
        <v>30</v>
      </c>
      <c r="I25" s="4">
        <f t="shared" si="0"/>
        <v>4.3608675000000003</v>
      </c>
      <c r="J25" s="5">
        <f t="shared" si="1"/>
        <v>1.8584469399341611E-2</v>
      </c>
      <c r="K25" s="5">
        <f t="shared" si="2"/>
        <v>6.4496481989370427E-3</v>
      </c>
      <c r="L25" s="5">
        <f t="shared" si="3"/>
        <v>3.6966041877806209E-3</v>
      </c>
      <c r="M25" s="5">
        <f t="shared" si="4"/>
        <v>1.213482120040457E-2</v>
      </c>
      <c r="N25" s="46">
        <f t="shared" si="5"/>
        <v>1614312</v>
      </c>
      <c r="O25" s="5">
        <v>-12</v>
      </c>
      <c r="P25" s="6">
        <v>23148086</v>
      </c>
      <c r="Q25" s="6">
        <v>723377.6875</v>
      </c>
      <c r="R25" s="6">
        <v>13979.90625</v>
      </c>
      <c r="S25" s="7">
        <v>4651592</v>
      </c>
      <c r="T25" s="7">
        <v>925240</v>
      </c>
      <c r="U25" s="7">
        <v>689072</v>
      </c>
      <c r="V25" s="7">
        <v>3037280</v>
      </c>
      <c r="W25" s="8">
        <v>66.202731249999999</v>
      </c>
      <c r="X25" s="8">
        <v>67.991668750000002</v>
      </c>
      <c r="Y25" s="8">
        <v>27.334187499999999</v>
      </c>
      <c r="Z25" s="8">
        <v>33.179340624999902</v>
      </c>
      <c r="AA25" s="8">
        <v>32.601890624999903</v>
      </c>
      <c r="AB25" s="9">
        <v>465.16699999999997</v>
      </c>
      <c r="AC25" s="9">
        <v>439.43200000000002</v>
      </c>
      <c r="AD25" s="9">
        <v>1346.13</v>
      </c>
      <c r="AE25" s="9">
        <v>10.234</v>
      </c>
      <c r="AG25" s="4">
        <f t="shared" si="6"/>
        <v>4.3589324999999999</v>
      </c>
      <c r="AH25" s="5">
        <f t="shared" si="7"/>
        <v>1.857622311616797E-2</v>
      </c>
      <c r="AI25" s="5">
        <f t="shared" si="8"/>
        <v>6.4758253536626696E-3</v>
      </c>
      <c r="AJ25" s="5">
        <f t="shared" si="9"/>
        <v>3.7227813425062474E-3</v>
      </c>
      <c r="AK25" s="5">
        <f t="shared" si="10"/>
        <v>1.2100397762505303E-2</v>
      </c>
      <c r="AL25" s="46">
        <f t="shared" si="11"/>
        <v>1620864</v>
      </c>
      <c r="AM25" s="5">
        <v>-12</v>
      </c>
      <c r="AN25" s="6"/>
      <c r="AO25" s="6"/>
      <c r="AP25" s="6"/>
      <c r="AQ25" s="7">
        <v>4649528</v>
      </c>
      <c r="AR25" s="7">
        <v>931792</v>
      </c>
      <c r="AS25" s="7">
        <v>689072</v>
      </c>
      <c r="AT25" s="7">
        <v>3028664</v>
      </c>
      <c r="AU25" s="8">
        <v>66.176546875</v>
      </c>
      <c r="AV25" s="8">
        <v>67.904559374999906</v>
      </c>
      <c r="AW25" s="8">
        <v>27.272774999999999</v>
      </c>
      <c r="AX25" s="8">
        <v>33.125871874999902</v>
      </c>
      <c r="AY25" s="8">
        <v>32.498628124999897</v>
      </c>
      <c r="AZ25" s="9">
        <v>105.157</v>
      </c>
      <c r="BA25" s="9">
        <v>99.328999999999994</v>
      </c>
      <c r="BB25" s="9">
        <v>643.82799999999997</v>
      </c>
      <c r="BC25" s="9">
        <v>10.281000000000001</v>
      </c>
      <c r="BE25" s="44">
        <f t="shared" si="12"/>
        <v>1.0040586949734625</v>
      </c>
      <c r="BF25" s="10" t="e">
        <f t="shared" si="13"/>
        <v>#DIV/0!</v>
      </c>
      <c r="BG25" s="10">
        <f t="shared" si="14"/>
        <v>1.5632341590080534E-3</v>
      </c>
      <c r="BH25" s="10">
        <f t="array" ref="BH25">AVERAGE(AL25:AL29/AQ25:AQ29) - AVERAGE(N25:N29/S25:S29)</f>
        <v>1.8834435199882316E-3</v>
      </c>
      <c r="BJ25" s="44">
        <f>IF( OR(ISBLANK(N25:N29),ISBLANK(AL25:AL29), ISBLANK(W25:W29),ISBLANK(AU25:AU29)), "·", bdRateExtend( N25:N29,W25:W29, AL25:AL29,AU25:AU29))</f>
        <v>1.1127736262130261E-2</v>
      </c>
      <c r="BK25" s="44">
        <f>IF( OR(ISBLANK(N25:N29),ISBLANK(AL25:AL29), ISBLANK(X25:X29),ISBLANK(AV25:AV29)), "·", bdRateExtend( N25:N29,X25:X29, AL25:AL29,AV25:AV29))</f>
        <v>1.9409511599414619E-2</v>
      </c>
      <c r="BL25" s="44">
        <f>IF( OR(ISBLANK(V25:V29),ISBLANK(AT25:AT29), ISBLANK(Y25:Y29),ISBLANK(AW25:AW29)), "·", bdRateExtend( V25:V29,Y25:Y29, AT25:AT29,AW25:AW29))</f>
        <v>2.6462232644575368E-2</v>
      </c>
      <c r="BM25" s="44">
        <f>IF( OR(ISBLANK(V25:V29),ISBLANK(AT25:AT29), ISBLANK(Z25:Z29),ISBLANK(AX25:AX29)), "·", bdRateExtend( V25:V29,Z25:Z29, AT25:AT29,AX25:AX29))</f>
        <v>6.381065323660895E-3</v>
      </c>
      <c r="BN25" s="44">
        <f>IF( OR(ISBLANK(V25:V29),ISBLANK(AT25:AT29), ISBLANK(AA25:AA29),ISBLANK(AY25:AY29)), "·", bdRateExtend( V25:V29,AA25:AA29, AT25:AT29,AY25:AY29))</f>
        <v>1.3728802508848004E-2</v>
      </c>
      <c r="BP25" s="44">
        <f>IF( OR(ISBLANK(S25:S29),ISBLANK(AQ25:AQ29), ISBLANK(W25:W29),ISBLANK(AU25:AU29)), "·", bdRateExtend( S25:S29,W25:W29, AQ25:AQ29,AU25:AU29))</f>
        <v>5.8706649917696918E-3</v>
      </c>
      <c r="BQ25" s="44">
        <f>IF( OR(ISBLANK(S25:S29),ISBLANK(AQ25:AQ29), ISBLANK(X25:X29),ISBLANK(AV25:AV29)), "·", bdRateExtend( S25:S29,X25:X29, AQ25:AQ29,AV25:AV29))</f>
        <v>2.2458270031113114E-2</v>
      </c>
      <c r="BR25" s="44">
        <f>IF( OR(ISBLANK(S25:S29),ISBLANK(AQ25:AQ29), ISBLANK(Y25:Y29),ISBLANK(AW25:AW29)), "·", bdRateExtend( S25:S29,Y25:Y29, AQ25:AQ29,AW25:AW29))</f>
        <v>2.5445458140758381E-2</v>
      </c>
      <c r="BS25" s="44">
        <f>IF( OR(ISBLANK(S25:S29),ISBLANK(AQ25:AQ29), ISBLANK(Z25:Z29),ISBLANK(AX25:AX29)), "·", bdRateExtend( S25:S29,Z25:Z29, AQ25:AQ29,AX25:AX29))</f>
        <v>6.6104017953407812E-3</v>
      </c>
      <c r="BT25" s="44">
        <f>IF( OR(ISBLANK(S25:S29),ISBLANK(AQ25:AQ29), ISBLANK(AA25:AA29),ISBLANK(AY25:AY29)), "·", bdRateExtend( S25:S29,AA25:AA29, AQ25:AQ29,AY25:AY29))</f>
        <v>1.2797710677633578E-2</v>
      </c>
      <c r="BV25" s="51">
        <f t="shared" ref="BV25:BX39" si="25">(AB25-AZ25)/AB25</f>
        <v>0.77393710215900957</v>
      </c>
      <c r="BW25" s="51">
        <f t="shared" si="20"/>
        <v>0.7739604762511606</v>
      </c>
      <c r="BX25" s="51">
        <f t="shared" si="20"/>
        <v>0.52171929902758285</v>
      </c>
      <c r="BY25" s="51">
        <f t="shared" si="16"/>
        <v>0.77394878920508514</v>
      </c>
      <c r="BZ25" s="55"/>
      <c r="CA25" s="51"/>
      <c r="CC25" s="57"/>
    </row>
    <row r="26" spans="1:84" outlineLevel="1" x14ac:dyDescent="0.15">
      <c r="A26" s="11"/>
      <c r="B26" s="11" t="s">
        <v>27</v>
      </c>
      <c r="C26" s="12" t="s">
        <v>145</v>
      </c>
      <c r="D26" s="11">
        <v>250294582</v>
      </c>
      <c r="E26" s="12">
        <v>10</v>
      </c>
      <c r="F26" s="12">
        <v>32</v>
      </c>
      <c r="G26" s="12">
        <v>30</v>
      </c>
      <c r="I26" s="13">
        <f t="shared" si="0"/>
        <v>7.4916749999999999</v>
      </c>
      <c r="J26" s="14">
        <f t="shared" si="1"/>
        <v>3.192685968727841E-2</v>
      </c>
      <c r="K26" s="14">
        <f t="shared" si="2"/>
        <v>7.9828495848144245E-3</v>
      </c>
      <c r="L26" s="14">
        <f t="shared" si="3"/>
        <v>5.2298055736580027E-3</v>
      </c>
      <c r="M26" s="14">
        <f t="shared" si="4"/>
        <v>2.3944010102463983E-2</v>
      </c>
      <c r="N26" s="11">
        <f t="shared" si="5"/>
        <v>1998064</v>
      </c>
      <c r="O26" s="14">
        <v>-12</v>
      </c>
      <c r="P26" s="15">
        <v>24596617</v>
      </c>
      <c r="Q26" s="15">
        <v>768644.28125</v>
      </c>
      <c r="R26" s="15">
        <v>17690.84375</v>
      </c>
      <c r="S26" s="16">
        <v>7991120</v>
      </c>
      <c r="T26" s="16">
        <v>1308992</v>
      </c>
      <c r="U26" s="16">
        <v>689072</v>
      </c>
      <c r="V26" s="16">
        <v>5993056</v>
      </c>
      <c r="W26" s="17">
        <v>67.955109375000006</v>
      </c>
      <c r="X26" s="17">
        <v>69.951062499999907</v>
      </c>
      <c r="Y26" s="17">
        <v>29.714649999999999</v>
      </c>
      <c r="Z26" s="17">
        <v>34.343318750000002</v>
      </c>
      <c r="AA26" s="17">
        <v>33.888874999999999</v>
      </c>
      <c r="AB26" s="18">
        <v>497.53</v>
      </c>
      <c r="AC26" s="18">
        <v>454.13099999999997</v>
      </c>
      <c r="AD26" s="18">
        <v>1392.09</v>
      </c>
      <c r="AE26" s="18">
        <v>10.343</v>
      </c>
      <c r="AG26" s="13">
        <f t="shared" si="6"/>
        <v>7.4873099999999999</v>
      </c>
      <c r="AH26" s="14">
        <f t="shared" si="7"/>
        <v>3.1908257606630894E-2</v>
      </c>
      <c r="AI26" s="14">
        <f t="shared" si="8"/>
        <v>8.0183277798638094E-3</v>
      </c>
      <c r="AJ26" s="14">
        <f t="shared" si="9"/>
        <v>5.2652837687073867E-3</v>
      </c>
      <c r="AK26" s="14">
        <f t="shared" si="10"/>
        <v>2.3889929826767086E-2</v>
      </c>
      <c r="AL26" s="11">
        <f t="shared" si="11"/>
        <v>2006944</v>
      </c>
      <c r="AM26" s="14">
        <v>-12</v>
      </c>
      <c r="AN26" s="15"/>
      <c r="AO26" s="15"/>
      <c r="AP26" s="15"/>
      <c r="AQ26" s="16">
        <v>7986464</v>
      </c>
      <c r="AR26" s="16">
        <v>1317872</v>
      </c>
      <c r="AS26" s="16">
        <v>689072</v>
      </c>
      <c r="AT26" s="16">
        <v>5979520</v>
      </c>
      <c r="AU26" s="17">
        <v>67.909178124999997</v>
      </c>
      <c r="AV26" s="17">
        <v>69.821865624999901</v>
      </c>
      <c r="AW26" s="17">
        <v>29.597537500000001</v>
      </c>
      <c r="AX26" s="17">
        <v>34.256362500000002</v>
      </c>
      <c r="AY26" s="17">
        <v>33.778962499999999</v>
      </c>
      <c r="AZ26" s="18">
        <v>115.41500000000001</v>
      </c>
      <c r="BA26" s="18">
        <v>105.443</v>
      </c>
      <c r="BB26" s="18">
        <v>662.10900000000004</v>
      </c>
      <c r="BC26" s="18">
        <v>10.170999999999999</v>
      </c>
      <c r="BE26" s="43">
        <f t="shared" si="12"/>
        <v>1.0044443020844178</v>
      </c>
      <c r="BF26" s="19" t="e">
        <f t="shared" si="13"/>
        <v>#DIV/0!</v>
      </c>
      <c r="BG26" s="19">
        <f t="shared" si="14"/>
        <v>1.2576486254334274E-3</v>
      </c>
      <c r="BH26" s="19"/>
      <c r="BJ26" s="43"/>
      <c r="BK26" s="43"/>
      <c r="BL26" s="43"/>
      <c r="BM26" s="43"/>
      <c r="BN26" s="43"/>
      <c r="BP26" s="43"/>
      <c r="BQ26" s="43"/>
      <c r="BR26" s="43"/>
      <c r="BS26" s="43"/>
      <c r="BT26" s="43"/>
      <c r="BV26" s="51">
        <f t="shared" si="25"/>
        <v>0.76802403875143199</v>
      </c>
      <c r="BW26" s="51">
        <f t="shared" si="20"/>
        <v>0.76781369252484422</v>
      </c>
      <c r="BX26" s="51">
        <f t="shared" si="20"/>
        <v>0.52437773419821987</v>
      </c>
      <c r="BY26" s="51">
        <f t="shared" si="16"/>
        <v>0.76791886563813816</v>
      </c>
      <c r="BZ26" s="55"/>
      <c r="CA26" s="51"/>
      <c r="CC26" s="57"/>
    </row>
    <row r="27" spans="1:84" outlineLevel="1" x14ac:dyDescent="0.15">
      <c r="A27" s="46"/>
      <c r="B27" s="46" t="s">
        <v>27</v>
      </c>
      <c r="C27" s="3" t="s">
        <v>146</v>
      </c>
      <c r="D27" s="46">
        <v>250294582</v>
      </c>
      <c r="E27" s="3">
        <v>10</v>
      </c>
      <c r="F27" s="3">
        <v>32</v>
      </c>
      <c r="G27" s="3">
        <v>30</v>
      </c>
      <c r="I27" s="4">
        <f t="shared" si="0"/>
        <v>13.183875</v>
      </c>
      <c r="J27" s="5">
        <f t="shared" si="1"/>
        <v>5.6184995646449909E-2</v>
      </c>
      <c r="K27" s="5">
        <f t="shared" si="2"/>
        <v>1.028832497860461E-2</v>
      </c>
      <c r="L27" s="5">
        <f t="shared" si="3"/>
        <v>7.5352809674481885E-3</v>
      </c>
      <c r="M27" s="5">
        <f t="shared" si="4"/>
        <v>4.58966706678453E-2</v>
      </c>
      <c r="N27" s="46">
        <f t="shared" si="5"/>
        <v>2575112</v>
      </c>
      <c r="O27" s="5">
        <v>-12</v>
      </c>
      <c r="P27" s="6">
        <v>24867879</v>
      </c>
      <c r="Q27" s="6">
        <v>777121.21875</v>
      </c>
      <c r="R27" s="6">
        <v>18587.625</v>
      </c>
      <c r="S27" s="7">
        <v>14062800</v>
      </c>
      <c r="T27" s="7">
        <v>1886040</v>
      </c>
      <c r="U27" s="7">
        <v>689072</v>
      </c>
      <c r="V27" s="7">
        <v>11487688</v>
      </c>
      <c r="W27" s="8">
        <v>69.271965624999893</v>
      </c>
      <c r="X27" s="8">
        <v>71.647043749999995</v>
      </c>
      <c r="Y27" s="8">
        <v>32.215471874999999</v>
      </c>
      <c r="Z27" s="8">
        <v>35.579521874999998</v>
      </c>
      <c r="AA27" s="8">
        <v>35.207475000000002</v>
      </c>
      <c r="AB27" s="9">
        <v>528.10500000000002</v>
      </c>
      <c r="AC27" s="9">
        <v>490.21199999999999</v>
      </c>
      <c r="AD27" s="9">
        <v>1456.08</v>
      </c>
      <c r="AE27" s="9">
        <v>10.327999999999999</v>
      </c>
      <c r="AG27" s="4">
        <f t="shared" si="6"/>
        <v>13.068937500000001</v>
      </c>
      <c r="AH27" s="5">
        <f t="shared" si="7"/>
        <v>5.5695172818403235E-2</v>
      </c>
      <c r="AI27" s="5">
        <f t="shared" si="8"/>
        <v>1.037439955452172E-2</v>
      </c>
      <c r="AJ27" s="5">
        <f t="shared" si="9"/>
        <v>7.6213555433652979E-3</v>
      </c>
      <c r="AK27" s="5">
        <f t="shared" si="10"/>
        <v>4.5320773263881516E-2</v>
      </c>
      <c r="AL27" s="46">
        <f t="shared" si="11"/>
        <v>2596656</v>
      </c>
      <c r="AM27" s="5">
        <v>-12</v>
      </c>
      <c r="AN27" s="6"/>
      <c r="AO27" s="6"/>
      <c r="AP27" s="6"/>
      <c r="AQ27" s="7">
        <v>13940200</v>
      </c>
      <c r="AR27" s="7">
        <v>1907584</v>
      </c>
      <c r="AS27" s="7">
        <v>689072</v>
      </c>
      <c r="AT27" s="7">
        <v>11343544</v>
      </c>
      <c r="AU27" s="8">
        <v>69.252903125000003</v>
      </c>
      <c r="AV27" s="8">
        <v>71.513706249999998</v>
      </c>
      <c r="AW27" s="8">
        <v>32.061728125000002</v>
      </c>
      <c r="AX27" s="8">
        <v>35.572728124999998</v>
      </c>
      <c r="AY27" s="8">
        <v>35.183574999999998</v>
      </c>
      <c r="AZ27" s="9">
        <v>130.46100000000001</v>
      </c>
      <c r="BA27" s="9">
        <v>161.32900000000001</v>
      </c>
      <c r="BB27" s="9">
        <v>734.25</v>
      </c>
      <c r="BC27" s="9">
        <v>10.093</v>
      </c>
      <c r="BE27" s="44">
        <f t="shared" si="12"/>
        <v>1.0083662380510052</v>
      </c>
      <c r="BF27" s="10" t="e">
        <f t="shared" si="13"/>
        <v>#DIV/0!</v>
      </c>
      <c r="BG27" s="10">
        <f t="shared" si="14"/>
        <v>3.1559030524304088E-3</v>
      </c>
      <c r="BH27" s="10"/>
      <c r="BJ27" s="44"/>
      <c r="BK27" s="44"/>
      <c r="BL27" s="44"/>
      <c r="BM27" s="44"/>
      <c r="BN27" s="44"/>
      <c r="BP27" s="44"/>
      <c r="BQ27" s="44"/>
      <c r="BR27" s="44"/>
      <c r="BS27" s="44"/>
      <c r="BT27" s="44"/>
      <c r="BV27" s="51">
        <f t="shared" si="25"/>
        <v>0.75296389922458595</v>
      </c>
      <c r="BW27" s="51">
        <f t="shared" si="20"/>
        <v>0.6708995291832921</v>
      </c>
      <c r="BX27" s="51">
        <f t="shared" si="20"/>
        <v>0.49573512444371187</v>
      </c>
      <c r="BY27" s="51">
        <f t="shared" si="16"/>
        <v>0.71193171420393897</v>
      </c>
      <c r="BZ27" s="55"/>
      <c r="CA27" s="51"/>
      <c r="CC27" s="57"/>
    </row>
    <row r="28" spans="1:84" outlineLevel="1" x14ac:dyDescent="0.15">
      <c r="A28" s="11"/>
      <c r="B28" s="11" t="s">
        <v>27</v>
      </c>
      <c r="C28" s="12" t="s">
        <v>147</v>
      </c>
      <c r="D28" s="11">
        <v>250294582</v>
      </c>
      <c r="E28" s="12">
        <v>10</v>
      </c>
      <c r="F28" s="12">
        <v>32</v>
      </c>
      <c r="G28" s="12">
        <v>30</v>
      </c>
      <c r="I28" s="13">
        <f t="shared" si="0"/>
        <v>24.458400000000001</v>
      </c>
      <c r="J28" s="14">
        <f t="shared" si="1"/>
        <v>0.10423301931481681</v>
      </c>
      <c r="K28" s="14">
        <f t="shared" si="2"/>
        <v>1.4138636049261346E-2</v>
      </c>
      <c r="L28" s="14">
        <f t="shared" si="3"/>
        <v>1.1385592038104924E-2</v>
      </c>
      <c r="M28" s="14">
        <f t="shared" si="4"/>
        <v>9.0094383265555467E-2</v>
      </c>
      <c r="N28" s="11">
        <f t="shared" si="5"/>
        <v>3538824</v>
      </c>
      <c r="O28" s="14">
        <v>-12</v>
      </c>
      <c r="P28" s="15">
        <v>25503045</v>
      </c>
      <c r="Q28" s="15">
        <v>796970.15625</v>
      </c>
      <c r="R28" s="15">
        <v>20905.71875</v>
      </c>
      <c r="S28" s="16">
        <v>26088960</v>
      </c>
      <c r="T28" s="16">
        <v>2849752</v>
      </c>
      <c r="U28" s="16">
        <v>689072</v>
      </c>
      <c r="V28" s="16">
        <v>22550136</v>
      </c>
      <c r="W28" s="17">
        <v>70.438771874999901</v>
      </c>
      <c r="X28" s="17">
        <v>72.973003124999906</v>
      </c>
      <c r="Y28" s="17">
        <v>34.905471874999897</v>
      </c>
      <c r="Z28" s="17">
        <v>37.372971874999998</v>
      </c>
      <c r="AA28" s="17">
        <v>36.936059374999999</v>
      </c>
      <c r="AB28" s="18">
        <v>556.94299999999998</v>
      </c>
      <c r="AC28" s="18">
        <v>582.54499999999996</v>
      </c>
      <c r="AD28" s="18">
        <v>1578.13</v>
      </c>
      <c r="AE28" s="18">
        <v>10.359</v>
      </c>
      <c r="AG28" s="13">
        <f t="shared" si="6"/>
        <v>24.166799999999999</v>
      </c>
      <c r="AH28" s="14">
        <f t="shared" si="7"/>
        <v>0.10299032361795191</v>
      </c>
      <c r="AI28" s="14">
        <f t="shared" si="8"/>
        <v>1.4262713844920543E-2</v>
      </c>
      <c r="AJ28" s="14">
        <f t="shared" si="9"/>
        <v>1.150966983376412E-2</v>
      </c>
      <c r="AK28" s="14">
        <f t="shared" si="10"/>
        <v>8.872760977303136E-2</v>
      </c>
      <c r="AL28" s="11">
        <f t="shared" si="11"/>
        <v>3569880</v>
      </c>
      <c r="AM28" s="14">
        <v>-12</v>
      </c>
      <c r="AN28" s="15"/>
      <c r="AO28" s="15"/>
      <c r="AP28" s="15"/>
      <c r="AQ28" s="16">
        <v>25777920</v>
      </c>
      <c r="AR28" s="16">
        <v>2880808</v>
      </c>
      <c r="AS28" s="16">
        <v>689072</v>
      </c>
      <c r="AT28" s="16">
        <v>22208040</v>
      </c>
      <c r="AU28" s="17">
        <v>70.431821874999898</v>
      </c>
      <c r="AV28" s="17">
        <v>72.947246874999905</v>
      </c>
      <c r="AW28" s="17">
        <v>34.722562499999903</v>
      </c>
      <c r="AX28" s="17">
        <v>37.356900000000003</v>
      </c>
      <c r="AY28" s="17">
        <v>36.917328124999997</v>
      </c>
      <c r="AZ28" s="18">
        <v>151.995</v>
      </c>
      <c r="BA28" s="18">
        <v>231.81100000000001</v>
      </c>
      <c r="BB28" s="18">
        <v>824.76499999999999</v>
      </c>
      <c r="BC28" s="18">
        <v>10.218</v>
      </c>
      <c r="BE28" s="43">
        <f t="shared" si="12"/>
        <v>1.0087757967053461</v>
      </c>
      <c r="BF28" s="19" t="e">
        <f t="shared" si="13"/>
        <v>#DIV/0!</v>
      </c>
      <c r="BG28" s="19">
        <f t="shared" si="14"/>
        <v>2.8414575752538085E-3</v>
      </c>
      <c r="BH28" s="19"/>
      <c r="BJ28" s="43"/>
      <c r="BK28" s="43"/>
      <c r="BL28" s="43"/>
      <c r="BM28" s="43"/>
      <c r="BN28" s="43"/>
      <c r="BP28" s="43"/>
      <c r="BQ28" s="43"/>
      <c r="BR28" s="43"/>
      <c r="BS28" s="43"/>
      <c r="BT28" s="43"/>
      <c r="BV28" s="51">
        <f t="shared" si="25"/>
        <v>0.72709056402540295</v>
      </c>
      <c r="BW28" s="51">
        <f t="shared" si="20"/>
        <v>0.6020719429400303</v>
      </c>
      <c r="BX28" s="51">
        <f t="shared" si="20"/>
        <v>0.47737828949452837</v>
      </c>
      <c r="BY28" s="51">
        <f t="shared" si="16"/>
        <v>0.66458125348271668</v>
      </c>
      <c r="BZ28" s="55"/>
      <c r="CA28" s="51"/>
      <c r="CC28" s="57"/>
    </row>
    <row r="29" spans="1:84" ht="14.25" outlineLevel="1" thickBot="1" x14ac:dyDescent="0.2">
      <c r="A29" s="20"/>
      <c r="B29" s="20" t="s">
        <v>27</v>
      </c>
      <c r="C29" s="21" t="s">
        <v>148</v>
      </c>
      <c r="D29" s="20">
        <v>250294582</v>
      </c>
      <c r="E29" s="21">
        <v>10</v>
      </c>
      <c r="F29" s="21">
        <v>32</v>
      </c>
      <c r="G29" s="21">
        <v>30</v>
      </c>
      <c r="I29" s="22">
        <f t="shared" si="0"/>
        <v>44.156122500000002</v>
      </c>
      <c r="J29" s="23">
        <f t="shared" si="1"/>
        <v>0.18817772092246088</v>
      </c>
      <c r="K29" s="23">
        <f t="shared" si="2"/>
        <v>2.2856395669004135E-2</v>
      </c>
      <c r="L29" s="23">
        <f t="shared" si="3"/>
        <v>1.7621859669339546E-2</v>
      </c>
      <c r="M29" s="23">
        <f t="shared" si="4"/>
        <v>0.16532132525345675</v>
      </c>
      <c r="N29" s="20">
        <f t="shared" si="5"/>
        <v>5720832</v>
      </c>
      <c r="O29" s="23">
        <v>-12</v>
      </c>
      <c r="P29" s="24">
        <v>24554524</v>
      </c>
      <c r="Q29" s="24">
        <v>767328.875</v>
      </c>
      <c r="R29" s="24">
        <v>9745.3125</v>
      </c>
      <c r="S29" s="25">
        <v>47099864</v>
      </c>
      <c r="T29" s="25">
        <v>4410656</v>
      </c>
      <c r="U29" s="25">
        <v>1310176</v>
      </c>
      <c r="V29" s="25">
        <v>41379032</v>
      </c>
      <c r="W29" s="26">
        <v>71.141515624999997</v>
      </c>
      <c r="X29" s="26">
        <v>74.899956249999903</v>
      </c>
      <c r="Y29" s="26">
        <v>37.334449999999997</v>
      </c>
      <c r="Z29" s="26">
        <v>39.404759374999998</v>
      </c>
      <c r="AA29" s="26">
        <v>38.75755625</v>
      </c>
      <c r="AB29" s="27">
        <v>596.798</v>
      </c>
      <c r="AC29" s="27">
        <v>691.16800000000001</v>
      </c>
      <c r="AD29" s="27">
        <v>1743.5</v>
      </c>
      <c r="AE29" s="27">
        <v>10.561999999999999</v>
      </c>
      <c r="AG29" s="22">
        <f t="shared" si="6"/>
        <v>44.085187500000004</v>
      </c>
      <c r="AH29" s="23">
        <f t="shared" si="7"/>
        <v>0.18787542113076983</v>
      </c>
      <c r="AI29" s="23">
        <f t="shared" si="8"/>
        <v>2.2932210334461016E-2</v>
      </c>
      <c r="AJ29" s="23">
        <f t="shared" si="9"/>
        <v>1.7697674334796427E-2</v>
      </c>
      <c r="AK29" s="23">
        <f t="shared" si="10"/>
        <v>0.1649432107963088</v>
      </c>
      <c r="AL29" s="20">
        <f t="shared" si="11"/>
        <v>5739808</v>
      </c>
      <c r="AM29" s="23">
        <v>-12</v>
      </c>
      <c r="AN29" s="24"/>
      <c r="AO29" s="24"/>
      <c r="AP29" s="24"/>
      <c r="AQ29" s="25">
        <v>47024200</v>
      </c>
      <c r="AR29" s="25">
        <v>4429632</v>
      </c>
      <c r="AS29" s="25">
        <v>1310176</v>
      </c>
      <c r="AT29" s="25">
        <v>41284392</v>
      </c>
      <c r="AU29" s="26">
        <v>71.134656249999907</v>
      </c>
      <c r="AV29" s="26">
        <v>74.877146874999895</v>
      </c>
      <c r="AW29" s="26">
        <v>37.283274999999897</v>
      </c>
      <c r="AX29" s="26">
        <v>39.390221874999902</v>
      </c>
      <c r="AY29" s="26">
        <v>38.740787500000003</v>
      </c>
      <c r="AZ29" s="27">
        <v>206.51</v>
      </c>
      <c r="BA29" s="27">
        <v>436.702</v>
      </c>
      <c r="BB29" s="27">
        <v>1099.5899999999999</v>
      </c>
      <c r="BC29" s="27">
        <v>10.484</v>
      </c>
      <c r="BE29" s="28">
        <f t="shared" si="12"/>
        <v>1.0033170000447487</v>
      </c>
      <c r="BF29" s="29" t="e">
        <f t="shared" si="13"/>
        <v>#DIV/0!</v>
      </c>
      <c r="BG29" s="29">
        <f t="shared" si="14"/>
        <v>5.9897418781569567E-4</v>
      </c>
      <c r="BH29" s="29"/>
      <c r="BJ29" s="28"/>
      <c r="BK29" s="28"/>
      <c r="BL29" s="28"/>
      <c r="BM29" s="28"/>
      <c r="BN29" s="28"/>
      <c r="BP29" s="28"/>
      <c r="BQ29" s="28"/>
      <c r="BR29" s="28"/>
      <c r="BS29" s="28"/>
      <c r="BT29" s="28"/>
      <c r="BV29" s="51">
        <f t="shared" si="25"/>
        <v>0.65397002000676951</v>
      </c>
      <c r="BW29" s="51">
        <f t="shared" si="20"/>
        <v>0.36816808648548544</v>
      </c>
      <c r="BX29" s="51">
        <f t="shared" si="20"/>
        <v>0.36932033266418129</v>
      </c>
      <c r="BY29" s="51">
        <f t="shared" si="16"/>
        <v>0.5110690532461275</v>
      </c>
      <c r="BZ29" s="55">
        <f t="shared" ref="BZ29:CA29" si="26">AVERAGE(BV25:BV29)</f>
        <v>0.73519712483344013</v>
      </c>
      <c r="CA29" s="51">
        <f t="shared" si="26"/>
        <v>0.63658274547696259</v>
      </c>
      <c r="CB29" s="51">
        <f>AVERAGE(BX25:BX29)</f>
        <v>0.47770615596564481</v>
      </c>
      <c r="CC29" s="58">
        <f>AVERAGE(BY25:BY29)</f>
        <v>0.68588993515520136</v>
      </c>
      <c r="CD29" s="51">
        <f t="shared" ref="CD29:CE29" si="27">(SUM(AB25:AB29)-SUM(AZ25:AZ29))/SUM(AB25:AB29)</f>
        <v>0.73169731027251206</v>
      </c>
      <c r="CE29" s="51">
        <f t="shared" si="27"/>
        <v>0.61067970956030659</v>
      </c>
      <c r="CF29" s="51">
        <f t="shared" ref="CF29" si="28">(SUM(AB25:AC29)-SUM(AZ25:BA29))/SUM(AB25:AC29)</f>
        <v>0.67104077663823536</v>
      </c>
    </row>
    <row r="30" spans="1:84" x14ac:dyDescent="0.15">
      <c r="A30" s="11" t="s">
        <v>150</v>
      </c>
      <c r="B30" s="11" t="s">
        <v>28</v>
      </c>
      <c r="C30" s="12" t="s">
        <v>144</v>
      </c>
      <c r="D30" s="11">
        <v>375422539</v>
      </c>
      <c r="E30" s="12">
        <v>11</v>
      </c>
      <c r="F30" s="12">
        <v>32</v>
      </c>
      <c r="G30" s="12">
        <v>30</v>
      </c>
      <c r="I30" s="13" t="str">
        <f t="shared" si="0"/>
        <v>·</v>
      </c>
      <c r="J30" s="14" t="str">
        <f t="shared" si="1"/>
        <v>·</v>
      </c>
      <c r="K30" s="14" t="str">
        <f t="shared" si="2"/>
        <v>·</v>
      </c>
      <c r="L30" s="14" t="str">
        <f t="shared" si="3"/>
        <v>·</v>
      </c>
      <c r="M30" s="14" t="str">
        <f t="shared" si="4"/>
        <v>·</v>
      </c>
      <c r="N30" s="11" t="str">
        <f t="shared" si="5"/>
        <v/>
      </c>
      <c r="O30" s="14">
        <v>-12</v>
      </c>
      <c r="P30" s="15">
        <v>84256321</v>
      </c>
      <c r="Q30" s="15">
        <v>2633010.03125</v>
      </c>
      <c r="R30" s="15">
        <v>31474.3125</v>
      </c>
      <c r="S30" s="16"/>
      <c r="T30" s="16"/>
      <c r="U30" s="16"/>
      <c r="V30" s="16"/>
      <c r="W30" s="17"/>
      <c r="X30" s="17"/>
      <c r="Y30" s="17"/>
      <c r="Z30" s="17"/>
      <c r="AA30" s="17"/>
      <c r="AB30" s="18"/>
      <c r="AC30" s="18"/>
      <c r="AD30" s="18"/>
      <c r="AE30" s="18"/>
      <c r="AG30" s="13" t="str">
        <f t="shared" si="6"/>
        <v>·</v>
      </c>
      <c r="AH30" s="14" t="str">
        <f t="shared" si="7"/>
        <v>·</v>
      </c>
      <c r="AI30" s="14" t="str">
        <f t="shared" si="8"/>
        <v>·</v>
      </c>
      <c r="AJ30" s="14" t="str">
        <f t="shared" si="9"/>
        <v>·</v>
      </c>
      <c r="AK30" s="14" t="str">
        <f t="shared" si="10"/>
        <v>·</v>
      </c>
      <c r="AL30" s="11" t="str">
        <f t="shared" si="11"/>
        <v/>
      </c>
      <c r="AM30" s="14">
        <v>-12</v>
      </c>
      <c r="AN30" s="15"/>
      <c r="AO30" s="15"/>
      <c r="AP30" s="15"/>
      <c r="AQ30" s="16"/>
      <c r="AR30" s="16"/>
      <c r="AS30" s="16"/>
      <c r="AT30" s="16"/>
      <c r="AU30" s="17"/>
      <c r="AV30" s="17"/>
      <c r="AW30" s="17"/>
      <c r="AX30" s="17"/>
      <c r="AY30" s="17"/>
      <c r="AZ30" s="18"/>
      <c r="BA30" s="18"/>
      <c r="BB30" s="18"/>
      <c r="BC30" s="18"/>
      <c r="BE30" s="43" t="e">
        <f t="shared" si="12"/>
        <v>#VALUE!</v>
      </c>
      <c r="BF30" s="19" t="e">
        <f t="shared" si="13"/>
        <v>#DIV/0!</v>
      </c>
      <c r="BG30" s="19" t="e">
        <f t="shared" si="14"/>
        <v>#VALUE!</v>
      </c>
      <c r="BH30" s="19" t="e">
        <f t="array" ref="BH30">AVERAGE(AL30:AL34/AQ30:AQ34) - AVERAGE(N30:N34/S30:S34)</f>
        <v>#VALUE!</v>
      </c>
      <c r="BJ30" s="43" t="str">
        <f>IF( OR(ISBLANK(N30:N34),ISBLANK(AL30:AL34), ISBLANK(W30:W34),ISBLANK(AU30:AU34)), "·", bdRateExtend( N30:N34,W30:W34, AL30:AL34,AU30:AU34))</f>
        <v>·</v>
      </c>
      <c r="BK30" s="43" t="str">
        <f>IF( OR(ISBLANK(N30:N34),ISBLANK(AL30:AL34), ISBLANK(X30:X34),ISBLANK(AV30:AV34)), "·", bdRateExtend( N30:N34,X30:X34, AL30:AL34,AV30:AV34))</f>
        <v>·</v>
      </c>
      <c r="BL30" s="43" t="str">
        <f>IF( OR(ISBLANK(V30:V34),ISBLANK(AT30:AT34), ISBLANK(Y30:Y34),ISBLANK(AW30:AW34)), "·", bdRateExtend( V30:V34,Y30:Y34, AT30:AT34,AW30:AW34))</f>
        <v>·</v>
      </c>
      <c r="BM30" s="43" t="str">
        <f>IF( OR(ISBLANK(V30:V34),ISBLANK(AT30:AT34), ISBLANK(Z30:Z34),ISBLANK(AX30:AX34)), "·", bdRateExtend( V30:V34,Z30:Z34, AT30:AT34,AX30:AX34))</f>
        <v>·</v>
      </c>
      <c r="BN30" s="43" t="str">
        <f>IF( OR(ISBLANK(V30:V34),ISBLANK(AT30:AT34), ISBLANK(AA30:AA34),ISBLANK(AY30:AY34)), "·", bdRateExtend( V30:V34,AA30:AA34, AT30:AT34,AY30:AY34))</f>
        <v>·</v>
      </c>
      <c r="BP30" s="43" t="str">
        <f>IF( OR(ISBLANK(S30:S34),ISBLANK(AQ30:AQ34), ISBLANK(W30:W34),ISBLANK(AU30:AU34)), "·", bdRateExtend( S30:S34,W30:W34, AQ30:AQ34,AU30:AU34))</f>
        <v>·</v>
      </c>
      <c r="BQ30" s="43" t="str">
        <f>IF( OR(ISBLANK(S30:S34),ISBLANK(AQ30:AQ34), ISBLANK(X30:X34),ISBLANK(AV30:AV34)), "·", bdRateExtend( S30:S34,X30:X34, AQ30:AQ34,AV30:AV34))</f>
        <v>·</v>
      </c>
      <c r="BR30" s="43" t="str">
        <f>IF( OR(ISBLANK(S30:S34),ISBLANK(AQ30:AQ34), ISBLANK(Y30:Y34),ISBLANK(AW30:AW34)), "·", bdRateExtend( S30:S34,Y30:Y34, AQ30:AQ34,AW30:AW34))</f>
        <v>·</v>
      </c>
      <c r="BS30" s="43" t="str">
        <f>IF( OR(ISBLANK(S30:S34),ISBLANK(AQ30:AQ34), ISBLANK(Z30:Z34),ISBLANK(AX30:AX34)), "·", bdRateExtend( S30:S34,Z30:Z34, AQ30:AQ34,AX30:AX34))</f>
        <v>·</v>
      </c>
      <c r="BT30" s="43" t="str">
        <f>IF( OR(ISBLANK(S30:S34),ISBLANK(AQ30:AQ34), ISBLANK(AA30:AA34),ISBLANK(AY30:AY34)), "·", bdRateExtend( S30:S34,AA30:AA34, AQ30:AQ34,AY30:AY34))</f>
        <v>·</v>
      </c>
      <c r="BV30" s="51" t="e">
        <f t="shared" si="25"/>
        <v>#DIV/0!</v>
      </c>
      <c r="BW30" s="51" t="e">
        <f t="shared" si="25"/>
        <v>#DIV/0!</v>
      </c>
      <c r="BX30" s="51" t="e">
        <f t="shared" si="25"/>
        <v>#DIV/0!</v>
      </c>
      <c r="BY30" s="51" t="e">
        <f t="shared" si="16"/>
        <v>#DIV/0!</v>
      </c>
      <c r="BZ30" s="55"/>
      <c r="CA30" s="51"/>
      <c r="CC30" s="57"/>
    </row>
    <row r="31" spans="1:84" outlineLevel="1" x14ac:dyDescent="0.15">
      <c r="A31" s="46"/>
      <c r="B31" s="46" t="s">
        <v>28</v>
      </c>
      <c r="C31" s="3" t="s">
        <v>145</v>
      </c>
      <c r="D31" s="46">
        <v>375422539</v>
      </c>
      <c r="E31" s="3">
        <v>11</v>
      </c>
      <c r="F31" s="3">
        <v>32</v>
      </c>
      <c r="G31" s="3">
        <v>30</v>
      </c>
      <c r="I31" s="4" t="str">
        <f t="shared" si="0"/>
        <v>·</v>
      </c>
      <c r="J31" s="5" t="str">
        <f t="shared" si="1"/>
        <v>·</v>
      </c>
      <c r="K31" s="5" t="str">
        <f t="shared" si="2"/>
        <v>·</v>
      </c>
      <c r="L31" s="5" t="str">
        <f t="shared" si="3"/>
        <v>·</v>
      </c>
      <c r="M31" s="5" t="str">
        <f t="shared" si="4"/>
        <v>·</v>
      </c>
      <c r="N31" s="46" t="str">
        <f t="shared" si="5"/>
        <v/>
      </c>
      <c r="O31" s="5">
        <v>-12</v>
      </c>
      <c r="P31" s="6">
        <v>89796795</v>
      </c>
      <c r="Q31" s="6">
        <v>2806149.84375</v>
      </c>
      <c r="R31" s="6">
        <v>39729</v>
      </c>
      <c r="S31" s="7"/>
      <c r="T31" s="7"/>
      <c r="U31" s="7"/>
      <c r="V31" s="7"/>
      <c r="W31" s="8"/>
      <c r="X31" s="8"/>
      <c r="Y31" s="8"/>
      <c r="Z31" s="8"/>
      <c r="AA31" s="8"/>
      <c r="AB31" s="9"/>
      <c r="AC31" s="9"/>
      <c r="AD31" s="9"/>
      <c r="AE31" s="9"/>
      <c r="AG31" s="4" t="str">
        <f t="shared" si="6"/>
        <v>·</v>
      </c>
      <c r="AH31" s="5" t="str">
        <f t="shared" si="7"/>
        <v>·</v>
      </c>
      <c r="AI31" s="5" t="str">
        <f t="shared" si="8"/>
        <v>·</v>
      </c>
      <c r="AJ31" s="5" t="str">
        <f t="shared" si="9"/>
        <v>·</v>
      </c>
      <c r="AK31" s="5" t="str">
        <f t="shared" si="10"/>
        <v>·</v>
      </c>
      <c r="AL31" s="46" t="str">
        <f t="shared" si="11"/>
        <v/>
      </c>
      <c r="AM31" s="5">
        <v>-12</v>
      </c>
      <c r="AN31" s="6"/>
      <c r="AO31" s="6"/>
      <c r="AP31" s="6"/>
      <c r="AQ31" s="7"/>
      <c r="AR31" s="7"/>
      <c r="AS31" s="7"/>
      <c r="AT31" s="7"/>
      <c r="AU31" s="8"/>
      <c r="AV31" s="8"/>
      <c r="AW31" s="8"/>
      <c r="AX31" s="8"/>
      <c r="AY31" s="8"/>
      <c r="AZ31" s="9"/>
      <c r="BA31" s="9"/>
      <c r="BB31" s="9"/>
      <c r="BC31" s="9"/>
      <c r="BE31" s="44" t="e">
        <f t="shared" si="12"/>
        <v>#VALUE!</v>
      </c>
      <c r="BF31" s="10" t="e">
        <f t="shared" si="13"/>
        <v>#DIV/0!</v>
      </c>
      <c r="BG31" s="10" t="e">
        <f t="shared" si="14"/>
        <v>#VALUE!</v>
      </c>
      <c r="BH31" s="10"/>
      <c r="BJ31" s="44"/>
      <c r="BK31" s="44"/>
      <c r="BL31" s="44"/>
      <c r="BM31" s="44"/>
      <c r="BN31" s="44"/>
      <c r="BP31" s="44"/>
      <c r="BQ31" s="44"/>
      <c r="BR31" s="44"/>
      <c r="BS31" s="44"/>
      <c r="BT31" s="44"/>
      <c r="BV31" s="51" t="e">
        <f t="shared" si="25"/>
        <v>#DIV/0!</v>
      </c>
      <c r="BW31" s="51" t="e">
        <f t="shared" si="25"/>
        <v>#DIV/0!</v>
      </c>
      <c r="BX31" s="51" t="e">
        <f t="shared" si="25"/>
        <v>#DIV/0!</v>
      </c>
      <c r="BY31" s="51" t="e">
        <f t="shared" si="16"/>
        <v>#DIV/0!</v>
      </c>
      <c r="BZ31" s="55"/>
      <c r="CA31" s="51"/>
      <c r="CC31" s="57"/>
    </row>
    <row r="32" spans="1:84" outlineLevel="1" x14ac:dyDescent="0.15">
      <c r="A32" s="11"/>
      <c r="B32" s="11" t="s">
        <v>28</v>
      </c>
      <c r="C32" s="12" t="s">
        <v>146</v>
      </c>
      <c r="D32" s="11">
        <v>375422539</v>
      </c>
      <c r="E32" s="12">
        <v>11</v>
      </c>
      <c r="F32" s="12">
        <v>32</v>
      </c>
      <c r="G32" s="12">
        <v>30</v>
      </c>
      <c r="I32" s="13" t="str">
        <f t="shared" si="0"/>
        <v>·</v>
      </c>
      <c r="J32" s="14" t="str">
        <f t="shared" si="1"/>
        <v>·</v>
      </c>
      <c r="K32" s="14" t="str">
        <f t="shared" si="2"/>
        <v>·</v>
      </c>
      <c r="L32" s="14" t="str">
        <f t="shared" si="3"/>
        <v>·</v>
      </c>
      <c r="M32" s="14" t="str">
        <f t="shared" si="4"/>
        <v>·</v>
      </c>
      <c r="N32" s="11" t="str">
        <f t="shared" si="5"/>
        <v/>
      </c>
      <c r="O32" s="14">
        <v>-12</v>
      </c>
      <c r="P32" s="15">
        <v>91551049</v>
      </c>
      <c r="Q32" s="15">
        <v>2860970.28125</v>
      </c>
      <c r="R32" s="15">
        <v>42562.1875</v>
      </c>
      <c r="S32" s="16"/>
      <c r="T32" s="16"/>
      <c r="U32" s="16"/>
      <c r="V32" s="16"/>
      <c r="W32" s="17"/>
      <c r="X32" s="17"/>
      <c r="Y32" s="17"/>
      <c r="Z32" s="17"/>
      <c r="AA32" s="17"/>
      <c r="AB32" s="18"/>
      <c r="AC32" s="18"/>
      <c r="AD32" s="18"/>
      <c r="AE32" s="18"/>
      <c r="AG32" s="13" t="str">
        <f t="shared" si="6"/>
        <v>·</v>
      </c>
      <c r="AH32" s="14" t="str">
        <f t="shared" si="7"/>
        <v>·</v>
      </c>
      <c r="AI32" s="14" t="str">
        <f t="shared" si="8"/>
        <v>·</v>
      </c>
      <c r="AJ32" s="14" t="str">
        <f t="shared" si="9"/>
        <v>·</v>
      </c>
      <c r="AK32" s="14" t="str">
        <f t="shared" si="10"/>
        <v>·</v>
      </c>
      <c r="AL32" s="11" t="str">
        <f t="shared" si="11"/>
        <v/>
      </c>
      <c r="AM32" s="14">
        <v>-12</v>
      </c>
      <c r="AN32" s="15"/>
      <c r="AO32" s="15"/>
      <c r="AP32" s="15"/>
      <c r="AQ32" s="16"/>
      <c r="AR32" s="16"/>
      <c r="AS32" s="16"/>
      <c r="AT32" s="16"/>
      <c r="AU32" s="17"/>
      <c r="AV32" s="17"/>
      <c r="AW32" s="17"/>
      <c r="AX32" s="17"/>
      <c r="AY32" s="17"/>
      <c r="AZ32" s="18"/>
      <c r="BA32" s="18"/>
      <c r="BB32" s="18"/>
      <c r="BC32" s="18"/>
      <c r="BE32" s="43" t="e">
        <f t="shared" si="12"/>
        <v>#VALUE!</v>
      </c>
      <c r="BF32" s="19" t="e">
        <f t="shared" si="13"/>
        <v>#DIV/0!</v>
      </c>
      <c r="BG32" s="19" t="e">
        <f t="shared" si="14"/>
        <v>#VALUE!</v>
      </c>
      <c r="BH32" s="19"/>
      <c r="BJ32" s="43"/>
      <c r="BK32" s="43"/>
      <c r="BL32" s="43"/>
      <c r="BM32" s="43"/>
      <c r="BN32" s="43"/>
      <c r="BP32" s="43"/>
      <c r="BQ32" s="43"/>
      <c r="BR32" s="43"/>
      <c r="BS32" s="43"/>
      <c r="BT32" s="43"/>
      <c r="BV32" s="51" t="e">
        <f t="shared" si="25"/>
        <v>#DIV/0!</v>
      </c>
      <c r="BW32" s="51" t="e">
        <f t="shared" si="25"/>
        <v>#DIV/0!</v>
      </c>
      <c r="BX32" s="51" t="e">
        <f t="shared" si="25"/>
        <v>#DIV/0!</v>
      </c>
      <c r="BY32" s="51" t="e">
        <f t="shared" si="16"/>
        <v>#DIV/0!</v>
      </c>
      <c r="BZ32" s="55"/>
      <c r="CA32" s="51"/>
      <c r="CC32" s="57"/>
    </row>
    <row r="33" spans="1:81" outlineLevel="1" x14ac:dyDescent="0.15">
      <c r="A33" s="46"/>
      <c r="B33" s="46" t="s">
        <v>28</v>
      </c>
      <c r="C33" s="3" t="s">
        <v>147</v>
      </c>
      <c r="D33" s="46">
        <v>375422539</v>
      </c>
      <c r="E33" s="3">
        <v>11</v>
      </c>
      <c r="F33" s="3">
        <v>32</v>
      </c>
      <c r="G33" s="3">
        <v>30</v>
      </c>
      <c r="I33" s="4" t="str">
        <f t="shared" si="0"/>
        <v>·</v>
      </c>
      <c r="J33" s="5" t="str">
        <f t="shared" si="1"/>
        <v>·</v>
      </c>
      <c r="K33" s="5" t="str">
        <f t="shared" si="2"/>
        <v>·</v>
      </c>
      <c r="L33" s="5" t="str">
        <f t="shared" si="3"/>
        <v>·</v>
      </c>
      <c r="M33" s="5" t="str">
        <f t="shared" si="4"/>
        <v>·</v>
      </c>
      <c r="N33" s="46" t="str">
        <f t="shared" si="5"/>
        <v/>
      </c>
      <c r="O33" s="5">
        <v>-12</v>
      </c>
      <c r="P33" s="6">
        <v>93835548</v>
      </c>
      <c r="Q33" s="6">
        <v>2932360.875</v>
      </c>
      <c r="R33" s="6">
        <v>47386.6875</v>
      </c>
      <c r="S33" s="7"/>
      <c r="T33" s="7"/>
      <c r="U33" s="7"/>
      <c r="V33" s="7"/>
      <c r="W33" s="8"/>
      <c r="X33" s="8"/>
      <c r="Y33" s="8"/>
      <c r="Z33" s="8"/>
      <c r="AA33" s="8"/>
      <c r="AB33" s="9"/>
      <c r="AC33" s="9"/>
      <c r="AD33" s="9"/>
      <c r="AE33" s="9"/>
      <c r="AG33" s="4" t="str">
        <f t="shared" si="6"/>
        <v>·</v>
      </c>
      <c r="AH33" s="5" t="str">
        <f t="shared" si="7"/>
        <v>·</v>
      </c>
      <c r="AI33" s="5" t="str">
        <f t="shared" si="8"/>
        <v>·</v>
      </c>
      <c r="AJ33" s="5" t="str">
        <f t="shared" si="9"/>
        <v>·</v>
      </c>
      <c r="AK33" s="5" t="str">
        <f t="shared" si="10"/>
        <v>·</v>
      </c>
      <c r="AL33" s="46" t="str">
        <f t="shared" si="11"/>
        <v/>
      </c>
      <c r="AM33" s="5">
        <v>-12</v>
      </c>
      <c r="AN33" s="6"/>
      <c r="AO33" s="6"/>
      <c r="AP33" s="6"/>
      <c r="AQ33" s="7"/>
      <c r="AR33" s="7"/>
      <c r="AS33" s="7"/>
      <c r="AT33" s="7"/>
      <c r="AU33" s="8"/>
      <c r="AV33" s="8"/>
      <c r="AW33" s="8"/>
      <c r="AX33" s="8"/>
      <c r="AY33" s="8"/>
      <c r="AZ33" s="9"/>
      <c r="BA33" s="9"/>
      <c r="BB33" s="9"/>
      <c r="BC33" s="9"/>
      <c r="BE33" s="44" t="e">
        <f t="shared" si="12"/>
        <v>#VALUE!</v>
      </c>
      <c r="BF33" s="10" t="e">
        <f t="shared" si="13"/>
        <v>#DIV/0!</v>
      </c>
      <c r="BG33" s="10" t="e">
        <f t="shared" si="14"/>
        <v>#VALUE!</v>
      </c>
      <c r="BH33" s="10"/>
      <c r="BJ33" s="44"/>
      <c r="BK33" s="44"/>
      <c r="BL33" s="44"/>
      <c r="BM33" s="44"/>
      <c r="BN33" s="44"/>
      <c r="BP33" s="44"/>
      <c r="BQ33" s="44"/>
      <c r="BR33" s="44"/>
      <c r="BS33" s="44"/>
      <c r="BT33" s="44"/>
      <c r="BV33" s="51" t="e">
        <f t="shared" si="25"/>
        <v>#DIV/0!</v>
      </c>
      <c r="BW33" s="51" t="e">
        <f t="shared" si="25"/>
        <v>#DIV/0!</v>
      </c>
      <c r="BX33" s="51" t="e">
        <f t="shared" si="25"/>
        <v>#DIV/0!</v>
      </c>
      <c r="BY33" s="51" t="e">
        <f t="shared" si="16"/>
        <v>#DIV/0!</v>
      </c>
      <c r="BZ33" s="55"/>
      <c r="CA33" s="51"/>
      <c r="CC33" s="57"/>
    </row>
    <row r="34" spans="1:81" ht="14.25" outlineLevel="1" thickBot="1" x14ac:dyDescent="0.2">
      <c r="A34" s="11"/>
      <c r="B34" s="30" t="s">
        <v>28</v>
      </c>
      <c r="C34" s="31" t="s">
        <v>148</v>
      </c>
      <c r="D34" s="30">
        <v>375422539</v>
      </c>
      <c r="E34" s="31">
        <v>11</v>
      </c>
      <c r="F34" s="31">
        <v>32</v>
      </c>
      <c r="G34" s="31">
        <v>30</v>
      </c>
      <c r="I34" s="32" t="str">
        <f t="shared" si="0"/>
        <v>·</v>
      </c>
      <c r="J34" s="33" t="str">
        <f t="shared" si="1"/>
        <v>·</v>
      </c>
      <c r="K34" s="33" t="str">
        <f t="shared" si="2"/>
        <v>·</v>
      </c>
      <c r="L34" s="33" t="str">
        <f t="shared" si="3"/>
        <v>·</v>
      </c>
      <c r="M34" s="33" t="str">
        <f t="shared" si="4"/>
        <v>·</v>
      </c>
      <c r="N34" s="30" t="str">
        <f t="shared" si="5"/>
        <v/>
      </c>
      <c r="O34" s="33">
        <v>-12</v>
      </c>
      <c r="P34" s="34">
        <v>91937439</v>
      </c>
      <c r="Q34" s="34">
        <v>2873044.96875</v>
      </c>
      <c r="R34" s="34">
        <v>18769.40625</v>
      </c>
      <c r="S34" s="35"/>
      <c r="T34" s="35"/>
      <c r="U34" s="35"/>
      <c r="V34" s="35"/>
      <c r="W34" s="36"/>
      <c r="X34" s="36"/>
      <c r="Y34" s="36"/>
      <c r="Z34" s="36"/>
      <c r="AA34" s="36"/>
      <c r="AB34" s="37"/>
      <c r="AC34" s="37"/>
      <c r="AD34" s="37"/>
      <c r="AE34" s="37"/>
      <c r="AG34" s="32" t="str">
        <f t="shared" si="6"/>
        <v>·</v>
      </c>
      <c r="AH34" s="33" t="str">
        <f t="shared" si="7"/>
        <v>·</v>
      </c>
      <c r="AI34" s="33" t="str">
        <f t="shared" si="8"/>
        <v>·</v>
      </c>
      <c r="AJ34" s="33" t="str">
        <f t="shared" si="9"/>
        <v>·</v>
      </c>
      <c r="AK34" s="33" t="str">
        <f t="shared" si="10"/>
        <v>·</v>
      </c>
      <c r="AL34" s="30" t="str">
        <f t="shared" si="11"/>
        <v/>
      </c>
      <c r="AM34" s="33">
        <v>-12</v>
      </c>
      <c r="AN34" s="34"/>
      <c r="AO34" s="34"/>
      <c r="AP34" s="34"/>
      <c r="AQ34" s="35"/>
      <c r="AR34" s="35"/>
      <c r="AS34" s="35"/>
      <c r="AT34" s="35"/>
      <c r="AU34" s="36"/>
      <c r="AV34" s="36"/>
      <c r="AW34" s="36"/>
      <c r="AX34" s="36"/>
      <c r="AY34" s="36"/>
      <c r="AZ34" s="37"/>
      <c r="BA34" s="37"/>
      <c r="BB34" s="37"/>
      <c r="BC34" s="37"/>
      <c r="BE34" s="38" t="e">
        <f t="shared" si="12"/>
        <v>#VALUE!</v>
      </c>
      <c r="BF34" s="39" t="e">
        <f t="shared" si="13"/>
        <v>#DIV/0!</v>
      </c>
      <c r="BG34" s="39" t="e">
        <f t="shared" si="14"/>
        <v>#VALUE!</v>
      </c>
      <c r="BH34" s="39"/>
      <c r="BJ34" s="38"/>
      <c r="BK34" s="38"/>
      <c r="BL34" s="38"/>
      <c r="BM34" s="38"/>
      <c r="BN34" s="38"/>
      <c r="BP34" s="38"/>
      <c r="BQ34" s="38"/>
      <c r="BR34" s="38"/>
      <c r="BS34" s="38"/>
      <c r="BT34" s="38"/>
      <c r="BV34" s="51" t="e">
        <f t="shared" si="25"/>
        <v>#DIV/0!</v>
      </c>
      <c r="BW34" s="51" t="e">
        <f t="shared" si="25"/>
        <v>#DIV/0!</v>
      </c>
      <c r="BX34" s="51" t="e">
        <f t="shared" si="25"/>
        <v>#DIV/0!</v>
      </c>
      <c r="BY34" s="51" t="e">
        <f t="shared" si="16"/>
        <v>#DIV/0!</v>
      </c>
      <c r="BZ34" s="55"/>
      <c r="CA34" s="51"/>
      <c r="CC34" s="57"/>
    </row>
    <row r="35" spans="1:81" x14ac:dyDescent="0.15">
      <c r="A35" s="46"/>
      <c r="B35" s="46" t="s">
        <v>29</v>
      </c>
      <c r="C35" s="3" t="s">
        <v>144</v>
      </c>
      <c r="D35" s="46">
        <v>333190689</v>
      </c>
      <c r="E35" s="3">
        <v>11</v>
      </c>
      <c r="F35" s="3">
        <v>32</v>
      </c>
      <c r="G35" s="3">
        <v>30</v>
      </c>
      <c r="I35" s="4" t="str">
        <f t="shared" si="0"/>
        <v>·</v>
      </c>
      <c r="J35" s="5" t="str">
        <f t="shared" si="1"/>
        <v>·</v>
      </c>
      <c r="K35" s="5" t="str">
        <f t="shared" si="2"/>
        <v>·</v>
      </c>
      <c r="L35" s="5" t="str">
        <f t="shared" si="3"/>
        <v>·</v>
      </c>
      <c r="M35" s="5" t="str">
        <f t="shared" si="4"/>
        <v>·</v>
      </c>
      <c r="N35" s="46" t="str">
        <f t="shared" si="5"/>
        <v/>
      </c>
      <c r="O35" s="5">
        <v>-12</v>
      </c>
      <c r="P35" s="6">
        <v>74921620</v>
      </c>
      <c r="Q35" s="6">
        <v>2341300.625</v>
      </c>
      <c r="R35" s="6">
        <v>30932.375</v>
      </c>
      <c r="S35" s="7"/>
      <c r="T35" s="7"/>
      <c r="U35" s="7"/>
      <c r="V35" s="7"/>
      <c r="W35" s="8"/>
      <c r="X35" s="8"/>
      <c r="Y35" s="8"/>
      <c r="Z35" s="8"/>
      <c r="AA35" s="8"/>
      <c r="AB35" s="9"/>
      <c r="AC35" s="9"/>
      <c r="AD35" s="9"/>
      <c r="AE35" s="9"/>
      <c r="AG35" s="4" t="str">
        <f t="shared" si="6"/>
        <v>·</v>
      </c>
      <c r="AH35" s="5" t="str">
        <f t="shared" si="7"/>
        <v>·</v>
      </c>
      <c r="AI35" s="5" t="str">
        <f t="shared" si="8"/>
        <v>·</v>
      </c>
      <c r="AJ35" s="5" t="str">
        <f t="shared" si="9"/>
        <v>·</v>
      </c>
      <c r="AK35" s="5" t="str">
        <f t="shared" si="10"/>
        <v>·</v>
      </c>
      <c r="AL35" s="46" t="str">
        <f t="shared" si="11"/>
        <v/>
      </c>
      <c r="AM35" s="5">
        <v>-12</v>
      </c>
      <c r="AN35" s="6"/>
      <c r="AO35" s="6"/>
      <c r="AP35" s="6"/>
      <c r="AQ35" s="7"/>
      <c r="AR35" s="7"/>
      <c r="AS35" s="7"/>
      <c r="AT35" s="7"/>
      <c r="AU35" s="8"/>
      <c r="AV35" s="8"/>
      <c r="AW35" s="8"/>
      <c r="AX35" s="8"/>
      <c r="AY35" s="8"/>
      <c r="AZ35" s="9"/>
      <c r="BA35" s="9"/>
      <c r="BB35" s="9"/>
      <c r="BC35" s="9"/>
      <c r="BE35" s="44" t="e">
        <f t="shared" si="12"/>
        <v>#VALUE!</v>
      </c>
      <c r="BF35" s="10" t="e">
        <f t="shared" si="13"/>
        <v>#DIV/0!</v>
      </c>
      <c r="BG35" s="10" t="e">
        <f t="shared" si="14"/>
        <v>#VALUE!</v>
      </c>
      <c r="BH35" s="10" t="e">
        <f t="array" ref="BH35">AVERAGE(AL35:AL39/AQ35:AQ39) - AVERAGE(N35:N39/S35:S39)</f>
        <v>#VALUE!</v>
      </c>
      <c r="BJ35" s="44" t="str">
        <f>IF( OR(ISBLANK(N35:N39),ISBLANK(AL35:AL39), ISBLANK(W35:W39),ISBLANK(AU35:AU39)), "·", bdRateExtend( N35:N39,W35:W39, AL35:AL39,AU35:AU39))</f>
        <v>·</v>
      </c>
      <c r="BK35" s="44" t="str">
        <f>IF( OR(ISBLANK(N35:N39),ISBLANK(AL35:AL39), ISBLANK(X35:X39),ISBLANK(AV35:AV39)), "·", bdRateExtend( N35:N39,X35:X39, AL35:AL39,AV35:AV39))</f>
        <v>·</v>
      </c>
      <c r="BL35" s="44" t="str">
        <f>IF( OR(ISBLANK(V35:V39),ISBLANK(AT35:AT39), ISBLANK(Y35:Y39),ISBLANK(AW35:AW39)), "·", bdRateExtend( V35:V39,Y35:Y39, AT35:AT39,AW35:AW39))</f>
        <v>·</v>
      </c>
      <c r="BM35" s="44" t="str">
        <f>IF( OR(ISBLANK(V35:V39),ISBLANK(AT35:AT39), ISBLANK(Z35:Z39),ISBLANK(AX35:AX39)), "·", bdRateExtend( V35:V39,Z35:Z39, AT35:AT39,AX35:AX39))</f>
        <v>·</v>
      </c>
      <c r="BN35" s="44" t="str">
        <f>IF( OR(ISBLANK(V35:V39),ISBLANK(AT35:AT39), ISBLANK(AA35:AA39),ISBLANK(AY35:AY39)), "·", bdRateExtend( V35:V39,AA35:AA39, AT35:AT39,AY35:AY39))</f>
        <v>·</v>
      </c>
      <c r="BP35" s="44" t="str">
        <f>IF( OR(ISBLANK(S35:S39),ISBLANK(AQ35:AQ39), ISBLANK(W35:W39),ISBLANK(AU35:AU39)), "·", bdRateExtend( S35:S39,W35:W39, AQ35:AQ39,AU35:AU39))</f>
        <v>·</v>
      </c>
      <c r="BQ35" s="44" t="str">
        <f>IF( OR(ISBLANK(S35:S39),ISBLANK(AQ35:AQ39), ISBLANK(X35:X39),ISBLANK(AV35:AV39)), "·", bdRateExtend( S35:S39,X35:X39, AQ35:AQ39,AV35:AV39))</f>
        <v>·</v>
      </c>
      <c r="BR35" s="44" t="str">
        <f>IF( OR(ISBLANK(S35:S39),ISBLANK(AQ35:AQ39), ISBLANK(Y35:Y39),ISBLANK(AW35:AW39)), "·", bdRateExtend( S35:S39,Y35:Y39, AQ35:AQ39,AW35:AW39))</f>
        <v>·</v>
      </c>
      <c r="BS35" s="44" t="str">
        <f>IF( OR(ISBLANK(S35:S39),ISBLANK(AQ35:AQ39), ISBLANK(Z35:Z39),ISBLANK(AX35:AX39)), "·", bdRateExtend( S35:S39,Z35:Z39, AQ35:AQ39,AX35:AX39))</f>
        <v>·</v>
      </c>
      <c r="BT35" s="44" t="str">
        <f>IF( OR(ISBLANK(S35:S39),ISBLANK(AQ35:AQ39), ISBLANK(AA35:AA39),ISBLANK(AY35:AY39)), "·", bdRateExtend( S35:S39,AA35:AA39, AQ35:AQ39,AY35:AY39))</f>
        <v>·</v>
      </c>
      <c r="BV35" s="51" t="e">
        <f t="shared" si="25"/>
        <v>#DIV/0!</v>
      </c>
      <c r="BW35" s="51" t="e">
        <f t="shared" si="25"/>
        <v>#DIV/0!</v>
      </c>
      <c r="BX35" s="51" t="e">
        <f t="shared" si="25"/>
        <v>#DIV/0!</v>
      </c>
      <c r="BY35" s="51" t="e">
        <f t="shared" si="16"/>
        <v>#DIV/0!</v>
      </c>
      <c r="BZ35" s="55"/>
      <c r="CA35" s="51"/>
      <c r="CC35" s="57"/>
    </row>
    <row r="36" spans="1:81" outlineLevel="1" x14ac:dyDescent="0.15">
      <c r="A36" s="11"/>
      <c r="B36" s="11" t="s">
        <v>29</v>
      </c>
      <c r="C36" s="12" t="s">
        <v>145</v>
      </c>
      <c r="D36" s="11">
        <v>333190689</v>
      </c>
      <c r="E36" s="12">
        <v>11</v>
      </c>
      <c r="F36" s="12">
        <v>32</v>
      </c>
      <c r="G36" s="12">
        <v>30</v>
      </c>
      <c r="I36" s="13" t="str">
        <f t="shared" si="0"/>
        <v>·</v>
      </c>
      <c r="J36" s="14" t="str">
        <f t="shared" si="1"/>
        <v>·</v>
      </c>
      <c r="K36" s="14" t="str">
        <f t="shared" si="2"/>
        <v>·</v>
      </c>
      <c r="L36" s="14" t="str">
        <f t="shared" si="3"/>
        <v>·</v>
      </c>
      <c r="M36" s="14" t="str">
        <f t="shared" si="4"/>
        <v>·</v>
      </c>
      <c r="N36" s="11" t="str">
        <f t="shared" si="5"/>
        <v/>
      </c>
      <c r="O36" s="14">
        <v>-12</v>
      </c>
      <c r="P36" s="15">
        <v>79893061</v>
      </c>
      <c r="Q36" s="15">
        <v>2496658.15625</v>
      </c>
      <c r="R36" s="15">
        <v>39014.28125</v>
      </c>
      <c r="S36" s="16"/>
      <c r="T36" s="16"/>
      <c r="U36" s="16"/>
      <c r="V36" s="16"/>
      <c r="W36" s="17"/>
      <c r="X36" s="17"/>
      <c r="Y36" s="17"/>
      <c r="Z36" s="17"/>
      <c r="AA36" s="17"/>
      <c r="AB36" s="18"/>
      <c r="AC36" s="18"/>
      <c r="AD36" s="18"/>
      <c r="AE36" s="18"/>
      <c r="AG36" s="13" t="str">
        <f t="shared" si="6"/>
        <v>·</v>
      </c>
      <c r="AH36" s="14" t="str">
        <f t="shared" si="7"/>
        <v>·</v>
      </c>
      <c r="AI36" s="14" t="str">
        <f t="shared" si="8"/>
        <v>·</v>
      </c>
      <c r="AJ36" s="14" t="str">
        <f t="shared" si="9"/>
        <v>·</v>
      </c>
      <c r="AK36" s="14" t="str">
        <f t="shared" si="10"/>
        <v>·</v>
      </c>
      <c r="AL36" s="11" t="str">
        <f t="shared" si="11"/>
        <v/>
      </c>
      <c r="AM36" s="14">
        <v>-12</v>
      </c>
      <c r="AN36" s="15"/>
      <c r="AO36" s="15"/>
      <c r="AP36" s="15"/>
      <c r="AQ36" s="16"/>
      <c r="AR36" s="16"/>
      <c r="AS36" s="16"/>
      <c r="AT36" s="16"/>
      <c r="AU36" s="17"/>
      <c r="AV36" s="17"/>
      <c r="AW36" s="17"/>
      <c r="AX36" s="17"/>
      <c r="AY36" s="17"/>
      <c r="AZ36" s="18"/>
      <c r="BA36" s="18"/>
      <c r="BB36" s="18"/>
      <c r="BC36" s="18"/>
      <c r="BE36" s="43" t="e">
        <f t="shared" si="12"/>
        <v>#VALUE!</v>
      </c>
      <c r="BF36" s="19" t="e">
        <f t="shared" si="13"/>
        <v>#DIV/0!</v>
      </c>
      <c r="BG36" s="19" t="e">
        <f t="shared" si="14"/>
        <v>#VALUE!</v>
      </c>
      <c r="BH36" s="19"/>
      <c r="BJ36" s="43"/>
      <c r="BK36" s="43"/>
      <c r="BL36" s="43"/>
      <c r="BM36" s="43"/>
      <c r="BN36" s="43"/>
      <c r="BP36" s="43"/>
      <c r="BQ36" s="43"/>
      <c r="BR36" s="43"/>
      <c r="BS36" s="43"/>
      <c r="BT36" s="43"/>
      <c r="BV36" s="51" t="e">
        <f t="shared" si="25"/>
        <v>#DIV/0!</v>
      </c>
      <c r="BW36" s="51" t="e">
        <f t="shared" si="25"/>
        <v>#DIV/0!</v>
      </c>
      <c r="BX36" s="51" t="e">
        <f t="shared" si="25"/>
        <v>#DIV/0!</v>
      </c>
      <c r="BY36" s="51" t="e">
        <f t="shared" si="16"/>
        <v>#DIV/0!</v>
      </c>
      <c r="BZ36" s="55"/>
      <c r="CA36" s="51"/>
      <c r="CC36" s="57"/>
    </row>
    <row r="37" spans="1:81" outlineLevel="1" x14ac:dyDescent="0.15">
      <c r="A37" s="46"/>
      <c r="B37" s="46" t="s">
        <v>29</v>
      </c>
      <c r="C37" s="3" t="s">
        <v>146</v>
      </c>
      <c r="D37" s="46">
        <v>333190689</v>
      </c>
      <c r="E37" s="3">
        <v>11</v>
      </c>
      <c r="F37" s="3">
        <v>32</v>
      </c>
      <c r="G37" s="3">
        <v>30</v>
      </c>
      <c r="I37" s="4" t="str">
        <f t="shared" si="0"/>
        <v>·</v>
      </c>
      <c r="J37" s="5" t="str">
        <f t="shared" si="1"/>
        <v>·</v>
      </c>
      <c r="K37" s="5" t="str">
        <f t="shared" si="2"/>
        <v>·</v>
      </c>
      <c r="L37" s="5" t="str">
        <f t="shared" si="3"/>
        <v>·</v>
      </c>
      <c r="M37" s="5" t="str">
        <f t="shared" si="4"/>
        <v>·</v>
      </c>
      <c r="N37" s="46" t="str">
        <f t="shared" si="5"/>
        <v/>
      </c>
      <c r="O37" s="5">
        <v>-12</v>
      </c>
      <c r="P37" s="6">
        <v>81688385</v>
      </c>
      <c r="Q37" s="6">
        <v>2552762.03125</v>
      </c>
      <c r="R37" s="6">
        <v>42067.1875</v>
      </c>
      <c r="S37" s="7"/>
      <c r="T37" s="7"/>
      <c r="U37" s="7"/>
      <c r="V37" s="7"/>
      <c r="W37" s="8"/>
      <c r="X37" s="8"/>
      <c r="Y37" s="8"/>
      <c r="Z37" s="8"/>
      <c r="AA37" s="8"/>
      <c r="AB37" s="9"/>
      <c r="AC37" s="9"/>
      <c r="AD37" s="9"/>
      <c r="AE37" s="9"/>
      <c r="AG37" s="4" t="str">
        <f t="shared" si="6"/>
        <v>·</v>
      </c>
      <c r="AH37" s="5" t="str">
        <f t="shared" si="7"/>
        <v>·</v>
      </c>
      <c r="AI37" s="5" t="str">
        <f t="shared" si="8"/>
        <v>·</v>
      </c>
      <c r="AJ37" s="5" t="str">
        <f t="shared" si="9"/>
        <v>·</v>
      </c>
      <c r="AK37" s="5" t="str">
        <f t="shared" si="10"/>
        <v>·</v>
      </c>
      <c r="AL37" s="46" t="str">
        <f t="shared" si="11"/>
        <v/>
      </c>
      <c r="AM37" s="5">
        <v>-12</v>
      </c>
      <c r="AN37" s="6"/>
      <c r="AO37" s="6"/>
      <c r="AP37" s="6"/>
      <c r="AQ37" s="7"/>
      <c r="AR37" s="7"/>
      <c r="AS37" s="7"/>
      <c r="AT37" s="7"/>
      <c r="AU37" s="8"/>
      <c r="AV37" s="8"/>
      <c r="AW37" s="8"/>
      <c r="AX37" s="8"/>
      <c r="AY37" s="8"/>
      <c r="AZ37" s="9"/>
      <c r="BA37" s="9"/>
      <c r="BB37" s="9"/>
      <c r="BC37" s="9"/>
      <c r="BE37" s="44" t="e">
        <f t="shared" si="12"/>
        <v>#VALUE!</v>
      </c>
      <c r="BF37" s="10" t="e">
        <f t="shared" si="13"/>
        <v>#DIV/0!</v>
      </c>
      <c r="BG37" s="10" t="e">
        <f t="shared" si="14"/>
        <v>#VALUE!</v>
      </c>
      <c r="BH37" s="10"/>
      <c r="BJ37" s="44"/>
      <c r="BK37" s="44"/>
      <c r="BL37" s="44"/>
      <c r="BM37" s="44"/>
      <c r="BN37" s="44"/>
      <c r="BP37" s="44"/>
      <c r="BQ37" s="44"/>
      <c r="BR37" s="44"/>
      <c r="BS37" s="44"/>
      <c r="BT37" s="44"/>
      <c r="BV37" s="51" t="e">
        <f t="shared" si="25"/>
        <v>#DIV/0!</v>
      </c>
      <c r="BW37" s="51" t="e">
        <f t="shared" si="25"/>
        <v>#DIV/0!</v>
      </c>
      <c r="BX37" s="51" t="e">
        <f t="shared" si="25"/>
        <v>#DIV/0!</v>
      </c>
      <c r="BY37" s="51" t="e">
        <f t="shared" si="16"/>
        <v>#DIV/0!</v>
      </c>
      <c r="BZ37" s="55"/>
      <c r="CA37" s="51"/>
      <c r="CC37" s="57"/>
    </row>
    <row r="38" spans="1:81" outlineLevel="1" x14ac:dyDescent="0.15">
      <c r="A38" s="11"/>
      <c r="B38" s="11" t="s">
        <v>29</v>
      </c>
      <c r="C38" s="12" t="s">
        <v>147</v>
      </c>
      <c r="D38" s="11">
        <v>333190689</v>
      </c>
      <c r="E38" s="12">
        <v>11</v>
      </c>
      <c r="F38" s="12">
        <v>32</v>
      </c>
      <c r="G38" s="12">
        <v>30</v>
      </c>
      <c r="I38" s="13" t="str">
        <f t="shared" si="0"/>
        <v>·</v>
      </c>
      <c r="J38" s="14" t="str">
        <f t="shared" si="1"/>
        <v>·</v>
      </c>
      <c r="K38" s="14" t="str">
        <f t="shared" si="2"/>
        <v>·</v>
      </c>
      <c r="L38" s="14" t="str">
        <f t="shared" si="3"/>
        <v>·</v>
      </c>
      <c r="M38" s="14" t="str">
        <f t="shared" si="4"/>
        <v>·</v>
      </c>
      <c r="N38" s="11" t="str">
        <f t="shared" si="5"/>
        <v/>
      </c>
      <c r="O38" s="14">
        <v>-12</v>
      </c>
      <c r="P38" s="15">
        <v>83757654</v>
      </c>
      <c r="Q38" s="15">
        <v>2617426.6875</v>
      </c>
      <c r="R38" s="15">
        <v>46922.8125</v>
      </c>
      <c r="S38" s="16"/>
      <c r="T38" s="16"/>
      <c r="U38" s="16"/>
      <c r="V38" s="16"/>
      <c r="W38" s="17"/>
      <c r="X38" s="17"/>
      <c r="Y38" s="17"/>
      <c r="Z38" s="17"/>
      <c r="AA38" s="17"/>
      <c r="AB38" s="18"/>
      <c r="AC38" s="18"/>
      <c r="AD38" s="18"/>
      <c r="AE38" s="18"/>
      <c r="AG38" s="13" t="str">
        <f t="shared" si="6"/>
        <v>·</v>
      </c>
      <c r="AH38" s="14" t="str">
        <f t="shared" si="7"/>
        <v>·</v>
      </c>
      <c r="AI38" s="14" t="str">
        <f t="shared" si="8"/>
        <v>·</v>
      </c>
      <c r="AJ38" s="14" t="str">
        <f t="shared" si="9"/>
        <v>·</v>
      </c>
      <c r="AK38" s="14" t="str">
        <f t="shared" si="10"/>
        <v>·</v>
      </c>
      <c r="AL38" s="11" t="str">
        <f t="shared" si="11"/>
        <v/>
      </c>
      <c r="AM38" s="14">
        <v>-12</v>
      </c>
      <c r="AN38" s="15"/>
      <c r="AO38" s="15"/>
      <c r="AP38" s="15"/>
      <c r="AQ38" s="16"/>
      <c r="AR38" s="16"/>
      <c r="AS38" s="16"/>
      <c r="AT38" s="16"/>
      <c r="AU38" s="17"/>
      <c r="AV38" s="17"/>
      <c r="AW38" s="17"/>
      <c r="AX38" s="17"/>
      <c r="AY38" s="17"/>
      <c r="AZ38" s="18"/>
      <c r="BA38" s="18"/>
      <c r="BB38" s="18"/>
      <c r="BC38" s="18"/>
      <c r="BE38" s="43" t="e">
        <f t="shared" si="12"/>
        <v>#VALUE!</v>
      </c>
      <c r="BF38" s="19" t="e">
        <f t="shared" si="13"/>
        <v>#DIV/0!</v>
      </c>
      <c r="BG38" s="19" t="e">
        <f t="shared" si="14"/>
        <v>#VALUE!</v>
      </c>
      <c r="BH38" s="19"/>
      <c r="BJ38" s="43"/>
      <c r="BK38" s="43"/>
      <c r="BL38" s="43"/>
      <c r="BM38" s="43"/>
      <c r="BN38" s="43"/>
      <c r="BP38" s="43"/>
      <c r="BQ38" s="43"/>
      <c r="BR38" s="43"/>
      <c r="BS38" s="43"/>
      <c r="BT38" s="43"/>
      <c r="BV38" s="51" t="e">
        <f t="shared" si="25"/>
        <v>#DIV/0!</v>
      </c>
      <c r="BW38" s="51" t="e">
        <f t="shared" si="25"/>
        <v>#DIV/0!</v>
      </c>
      <c r="BX38" s="51" t="e">
        <f t="shared" si="25"/>
        <v>#DIV/0!</v>
      </c>
      <c r="BY38" s="51" t="e">
        <f t="shared" si="16"/>
        <v>#DIV/0!</v>
      </c>
      <c r="BZ38" s="54"/>
      <c r="CC38" s="57"/>
    </row>
    <row r="39" spans="1:81" ht="14.25" outlineLevel="1" thickBot="1" x14ac:dyDescent="0.2">
      <c r="A39" s="20"/>
      <c r="B39" s="20" t="s">
        <v>29</v>
      </c>
      <c r="C39" s="21" t="s">
        <v>148</v>
      </c>
      <c r="D39" s="20">
        <v>333190689</v>
      </c>
      <c r="E39" s="21">
        <v>11</v>
      </c>
      <c r="F39" s="21">
        <v>32</v>
      </c>
      <c r="G39" s="21">
        <v>30</v>
      </c>
      <c r="I39" s="22" t="str">
        <f t="shared" si="0"/>
        <v>·</v>
      </c>
      <c r="J39" s="23" t="str">
        <f t="shared" si="1"/>
        <v>·</v>
      </c>
      <c r="K39" s="23" t="str">
        <f t="shared" si="2"/>
        <v>·</v>
      </c>
      <c r="L39" s="23" t="str">
        <f t="shared" si="3"/>
        <v>·</v>
      </c>
      <c r="M39" s="23" t="str">
        <f t="shared" si="4"/>
        <v>·</v>
      </c>
      <c r="N39" s="20" t="str">
        <f t="shared" si="5"/>
        <v/>
      </c>
      <c r="O39" s="23">
        <v>-12</v>
      </c>
      <c r="P39" s="24">
        <v>81959857</v>
      </c>
      <c r="Q39" s="24">
        <v>2561245.53125</v>
      </c>
      <c r="R39" s="24">
        <v>18607.15625</v>
      </c>
      <c r="S39" s="25"/>
      <c r="T39" s="25"/>
      <c r="U39" s="25"/>
      <c r="V39" s="25"/>
      <c r="W39" s="26"/>
      <c r="X39" s="26"/>
      <c r="Y39" s="26"/>
      <c r="Z39" s="26"/>
      <c r="AA39" s="26"/>
      <c r="AB39" s="27"/>
      <c r="AC39" s="27"/>
      <c r="AD39" s="27"/>
      <c r="AE39" s="27"/>
      <c r="AG39" s="22" t="str">
        <f t="shared" si="6"/>
        <v>·</v>
      </c>
      <c r="AH39" s="23" t="str">
        <f t="shared" si="7"/>
        <v>·</v>
      </c>
      <c r="AI39" s="23" t="str">
        <f t="shared" si="8"/>
        <v>·</v>
      </c>
      <c r="AJ39" s="23" t="str">
        <f t="shared" si="9"/>
        <v>·</v>
      </c>
      <c r="AK39" s="23" t="str">
        <f t="shared" si="10"/>
        <v>·</v>
      </c>
      <c r="AL39" s="20" t="str">
        <f t="shared" si="11"/>
        <v/>
      </c>
      <c r="AM39" s="23">
        <v>-12</v>
      </c>
      <c r="AN39" s="24"/>
      <c r="AO39" s="24"/>
      <c r="AP39" s="24"/>
      <c r="AQ39" s="25"/>
      <c r="AR39" s="25"/>
      <c r="AS39" s="25"/>
      <c r="AT39" s="25"/>
      <c r="AU39" s="26"/>
      <c r="AV39" s="26"/>
      <c r="AW39" s="26"/>
      <c r="AX39" s="26"/>
      <c r="AY39" s="26"/>
      <c r="AZ39" s="27"/>
      <c r="BA39" s="27"/>
      <c r="BB39" s="27"/>
      <c r="BC39" s="27"/>
      <c r="BE39" s="28" t="e">
        <f t="shared" si="12"/>
        <v>#VALUE!</v>
      </c>
      <c r="BF39" s="29" t="e">
        <f t="shared" si="13"/>
        <v>#DIV/0!</v>
      </c>
      <c r="BG39" s="29" t="e">
        <f t="shared" si="14"/>
        <v>#VALUE!</v>
      </c>
      <c r="BH39" s="29"/>
      <c r="BJ39" s="28"/>
      <c r="BK39" s="28"/>
      <c r="BL39" s="28"/>
      <c r="BM39" s="28"/>
      <c r="BN39" s="28"/>
      <c r="BP39" s="28"/>
      <c r="BQ39" s="28"/>
      <c r="BR39" s="28"/>
      <c r="BS39" s="28"/>
      <c r="BT39" s="28"/>
      <c r="BV39" s="52" t="e">
        <f t="shared" si="25"/>
        <v>#DIV/0!</v>
      </c>
      <c r="BW39" s="52" t="e">
        <f t="shared" si="25"/>
        <v>#DIV/0!</v>
      </c>
      <c r="BX39" s="52" t="e">
        <f t="shared" si="25"/>
        <v>#DIV/0!</v>
      </c>
      <c r="BY39" s="52" t="e">
        <f t="shared" si="16"/>
        <v>#DIV/0!</v>
      </c>
      <c r="BZ39" s="54"/>
      <c r="CC39" s="57"/>
    </row>
    <row r="40" spans="1:81" x14ac:dyDescent="0.15">
      <c r="B40" s="40" t="s">
        <v>9</v>
      </c>
      <c r="J40" s="41">
        <f>AVERAGE(J5:J24)</f>
        <v>4.4208546081002734E-2</v>
      </c>
      <c r="K40" s="41">
        <f>AVERAGE(K5:K24)</f>
        <v>1.3836094495758086E-2</v>
      </c>
      <c r="L40" s="41">
        <f>AVERAGE(L5:L24)</f>
        <v>9.6969495541967075E-3</v>
      </c>
      <c r="M40" s="41">
        <f>AVERAGE(M5:M24)</f>
        <v>3.0372451585244636E-2</v>
      </c>
      <c r="AH40" s="41">
        <f>AVERAGE(AH5:AH24)</f>
        <v>4.4098183775786039E-2</v>
      </c>
      <c r="AI40" s="41">
        <f>AVERAGE(AI5:AI24)</f>
        <v>1.3908367464423055E-2</v>
      </c>
      <c r="AJ40" s="41">
        <f>AVERAGE(AJ5:AJ24)</f>
        <v>9.7692225228616768E-3</v>
      </c>
      <c r="AK40" s="41">
        <f>AVERAGE(AK5:AK24)</f>
        <v>3.0189816311362982E-2</v>
      </c>
      <c r="BE40" s="45">
        <f t="shared" si="12"/>
        <v>1.0052235093282376</v>
      </c>
      <c r="BH40" s="47">
        <f>AVERAGE(BH5:BH24)</f>
        <v>2.6607791116867452E-3</v>
      </c>
      <c r="BJ40" s="45">
        <f>AVERAGE(BJ5:BJ24)</f>
        <v>1.2999662410183466E-2</v>
      </c>
      <c r="BK40" s="45">
        <f>AVERAGE(BK5:BK24)</f>
        <v>1.6076706406628283E-2</v>
      </c>
      <c r="BL40" s="45">
        <f>AVERAGE(BL5:BL24)</f>
        <v>4.6643243146809621E-2</v>
      </c>
      <c r="BM40" s="45">
        <f>AVERAGE(BM5:BM24)</f>
        <v>-2.1295276667909452E-2</v>
      </c>
      <c r="BN40" s="45">
        <f>AVERAGE(BN5:BN24)</f>
        <v>-5.0142800053743775E-3</v>
      </c>
      <c r="BP40" s="45">
        <f>AVERAGE(BP5:BP24)</f>
        <v>9.3394797112494321E-3</v>
      </c>
      <c r="BQ40" s="45">
        <f>AVERAGE(BQ5:BQ24)</f>
        <v>1.5603936280447039E-2</v>
      </c>
      <c r="BR40" s="45">
        <f>AVERAGE(BR5:BR24)</f>
        <v>3.9410097410187472E-2</v>
      </c>
      <c r="BS40" s="45">
        <f>AVERAGE(BS5:BS24)</f>
        <v>-1.3378927920586009E-2</v>
      </c>
      <c r="BT40" s="45">
        <f>AVERAGE(BT5:BT24)</f>
        <v>-1.2962521464438825E-3</v>
      </c>
      <c r="BV40" s="51">
        <f>AVERAGE(BV5:BV29)</f>
        <v>0.73130549533119327</v>
      </c>
      <c r="BW40" s="51">
        <f t="shared" ref="BW40:BX40" si="29">AVERAGE(BW5:BW29)</f>
        <v>0.68720823655237584</v>
      </c>
      <c r="BX40" s="51">
        <f t="shared" si="29"/>
        <v>0.43140127089756075</v>
      </c>
      <c r="BY40" s="59">
        <f>AVERAGE(BV40:BW40)</f>
        <v>0.70925686594178461</v>
      </c>
      <c r="BZ40" s="54"/>
      <c r="CB40" s="51"/>
      <c r="CC40" s="58"/>
    </row>
    <row r="41" spans="1:81" x14ac:dyDescent="0.15">
      <c r="B41" s="40" t="s">
        <v>10</v>
      </c>
      <c r="J41" s="41">
        <f>AVERAGE(J25:J29)</f>
        <v>7.9821412994069529E-2</v>
      </c>
      <c r="K41" s="41">
        <f>AVERAGE(K25:K29)</f>
        <v>1.2343170896124311E-2</v>
      </c>
      <c r="L41" s="41">
        <f>AVERAGE(L25:L29)</f>
        <v>9.0938284872662568E-3</v>
      </c>
      <c r="M41" s="41">
        <f>AVERAGE(M25:M29)</f>
        <v>6.7478242097945215E-2</v>
      </c>
      <c r="AH41" s="41">
        <f>AVERAGE(AH25:AH29)</f>
        <v>7.9409079657984757E-2</v>
      </c>
      <c r="AI41" s="41">
        <f>AVERAGE(AI25:AI29)</f>
        <v>1.241269537348595E-2</v>
      </c>
      <c r="AJ41" s="41">
        <f>AVERAGE(AJ25:AJ29)</f>
        <v>9.1633529646278963E-3</v>
      </c>
      <c r="AK41" s="41">
        <f>AVERAGE(AK25:AK29)</f>
        <v>6.6996384284498806E-2</v>
      </c>
      <c r="BE41" s="45">
        <f t="shared" si="12"/>
        <v>1.005632626976223</v>
      </c>
      <c r="BH41" s="47">
        <f>AVERAGE(BH25:BH29)</f>
        <v>1.8834435199882316E-3</v>
      </c>
      <c r="BJ41" s="45">
        <f>AVERAGE(BJ25:BJ29)</f>
        <v>1.1127736262130261E-2</v>
      </c>
      <c r="BK41" s="45">
        <f>AVERAGE(BK25:BK29)</f>
        <v>1.9409511599414619E-2</v>
      </c>
      <c r="BL41" s="45">
        <f>AVERAGE(BL25:BL29)</f>
        <v>2.6462232644575368E-2</v>
      </c>
      <c r="BM41" s="45">
        <f>AVERAGE(BM25:BM29)</f>
        <v>6.381065323660895E-3</v>
      </c>
      <c r="BN41" s="45">
        <f>AVERAGE(BN25:BN29)</f>
        <v>1.3728802508848004E-2</v>
      </c>
      <c r="BP41" s="45">
        <f>AVERAGE(BP25:BP29)</f>
        <v>5.8706649917696918E-3</v>
      </c>
      <c r="BQ41" s="45">
        <f>AVERAGE(BQ25:BQ29)</f>
        <v>2.2458270031113114E-2</v>
      </c>
      <c r="BR41" s="45">
        <f>AVERAGE(BR25:BR29)</f>
        <v>2.5445458140758381E-2</v>
      </c>
      <c r="BS41" s="45">
        <f>AVERAGE(BS25:BS29)</f>
        <v>6.6104017953407812E-3</v>
      </c>
      <c r="BT41" s="45">
        <f>AVERAGE(BT25:BT29)</f>
        <v>1.2797710677633578E-2</v>
      </c>
    </row>
    <row r="42" spans="1:81" x14ac:dyDescent="0.15">
      <c r="B42" s="40" t="s">
        <v>11</v>
      </c>
      <c r="J42" s="41" t="e">
        <f>AVERAGE(J30:J39)</f>
        <v>#DIV/0!</v>
      </c>
      <c r="K42" s="41" t="e">
        <f>AVERAGE(K30:K39)</f>
        <v>#DIV/0!</v>
      </c>
      <c r="L42" s="41" t="e">
        <f>AVERAGE(L30:L39)</f>
        <v>#DIV/0!</v>
      </c>
      <c r="M42" s="41" t="e">
        <f>AVERAGE(M30:M39)</f>
        <v>#DIV/0!</v>
      </c>
      <c r="AH42" s="41" t="e">
        <f>AVERAGE(AH30:AH39)</f>
        <v>#DIV/0!</v>
      </c>
      <c r="AI42" s="41" t="e">
        <f>AVERAGE(AI30:AI39)</f>
        <v>#DIV/0!</v>
      </c>
      <c r="AJ42" s="41" t="e">
        <f>AVERAGE(AJ30:AJ39)</f>
        <v>#DIV/0!</v>
      </c>
      <c r="AK42" s="41" t="e">
        <f>AVERAGE(AK30:AK39)</f>
        <v>#DIV/0!</v>
      </c>
      <c r="BE42" s="45" t="e">
        <f t="shared" si="12"/>
        <v>#DIV/0!</v>
      </c>
      <c r="BH42" s="47" t="e">
        <f>AVERAGE(BH30:BH39)</f>
        <v>#VALUE!</v>
      </c>
      <c r="BJ42" s="45" t="e">
        <f>AVERAGE(BJ30:BJ39)</f>
        <v>#DIV/0!</v>
      </c>
      <c r="BK42" s="45" t="e">
        <f>AVERAGE(BK30:BK39)</f>
        <v>#DIV/0!</v>
      </c>
      <c r="BL42" s="45" t="e">
        <f>AVERAGE(BL30:BL39)</f>
        <v>#DIV/0!</v>
      </c>
      <c r="BM42" s="45" t="e">
        <f>AVERAGE(BM30:BM39)</f>
        <v>#DIV/0!</v>
      </c>
      <c r="BN42" s="45" t="e">
        <f>AVERAGE(BN30:BN39)</f>
        <v>#DIV/0!</v>
      </c>
      <c r="BP42" s="45" t="e">
        <f>AVERAGE(BP30:BP39)</f>
        <v>#DIV/0!</v>
      </c>
      <c r="BQ42" s="45" t="e">
        <f>AVERAGE(BQ30:BQ39)</f>
        <v>#DIV/0!</v>
      </c>
      <c r="BR42" s="45" t="e">
        <f>AVERAGE(BR30:BR39)</f>
        <v>#DIV/0!</v>
      </c>
      <c r="BS42" s="45" t="e">
        <f>AVERAGE(BS30:BS39)</f>
        <v>#DIV/0!</v>
      </c>
      <c r="BT42" s="45" t="e">
        <f>AVERAGE(BT30:BT39)</f>
        <v>#DIV/0!</v>
      </c>
    </row>
    <row r="43" spans="1:81" x14ac:dyDescent="0.15">
      <c r="B43" s="40" t="s">
        <v>12</v>
      </c>
      <c r="J43" s="41">
        <f>AVERAGE(J5:J39)</f>
        <v>5.1331119463616091E-2</v>
      </c>
      <c r="K43" s="41">
        <f>AVERAGE(K5:K39)</f>
        <v>1.3537509775831333E-2</v>
      </c>
      <c r="L43" s="41">
        <f>AVERAGE(L5:L39)</f>
        <v>9.5763253408106177E-3</v>
      </c>
      <c r="M43" s="41">
        <f>AVERAGE(M5:M39)</f>
        <v>3.7793609687784752E-2</v>
      </c>
      <c r="AH43" s="41">
        <f>AVERAGE(AH5:AH39)</f>
        <v>5.1160362952225785E-2</v>
      </c>
      <c r="AI43" s="41">
        <f>AVERAGE(AI5:AI39)</f>
        <v>1.3609233046235635E-2</v>
      </c>
      <c r="AJ43" s="41">
        <f>AVERAGE(AJ5:AJ39)</f>
        <v>9.6480486112149218E-3</v>
      </c>
      <c r="AK43" s="41">
        <f>AVERAGE(AK5:AK39)</f>
        <v>3.7551129905990147E-2</v>
      </c>
      <c r="BE43" s="45">
        <f t="shared" si="12"/>
        <v>1.0052981140248076</v>
      </c>
      <c r="BH43" s="47" t="e">
        <f>AVERAGE(BH5:BH39)</f>
        <v>#VALUE!</v>
      </c>
      <c r="BJ43" s="45">
        <f>AVERAGE(BJ5:BJ39)</f>
        <v>1.2625277180572825E-2</v>
      </c>
      <c r="BK43" s="45">
        <f>AVERAGE(BK5:BK39)</f>
        <v>1.6743267445185551E-2</v>
      </c>
      <c r="BL43" s="45">
        <f>AVERAGE(BL5:BL39)</f>
        <v>4.2607041046362773E-2</v>
      </c>
      <c r="BM43" s="45">
        <f>AVERAGE(BM5:BM39)</f>
        <v>-1.5760008269595383E-2</v>
      </c>
      <c r="BN43" s="45">
        <f>AVERAGE(BN5:BN39)</f>
        <v>-1.2656635025299011E-3</v>
      </c>
      <c r="BP43" s="45">
        <f>AVERAGE(BP5:BP39)</f>
        <v>8.645716767353484E-3</v>
      </c>
      <c r="BQ43" s="45">
        <f>AVERAGE(BQ5:BQ39)</f>
        <v>1.6974803030580254E-2</v>
      </c>
      <c r="BR43" s="45">
        <f>AVERAGE(BR5:BR39)</f>
        <v>3.6617169556301656E-2</v>
      </c>
      <c r="BS43" s="45">
        <f>AVERAGE(BS5:BS39)</f>
        <v>-9.3810619774006513E-3</v>
      </c>
      <c r="BT43" s="45">
        <f>AVERAGE(BT5:BT39)</f>
        <v>1.5225404183716097E-3</v>
      </c>
      <c r="BV43" s="51" t="e">
        <f>AVERAGE(BV5:BV39)</f>
        <v>#DIV/0!</v>
      </c>
      <c r="BW43" s="51" t="e">
        <f>AVERAGE(BW5:BW39)</f>
        <v>#DIV/0!</v>
      </c>
      <c r="BX43" s="51" t="e">
        <f t="shared" ref="BX43" si="30">AVERAGE(BX8:BX32)</f>
        <v>#DIV/0!</v>
      </c>
      <c r="BY43" s="51" t="e">
        <f>AVERAGE(BV43:BW43)</f>
        <v>#DIV/0!</v>
      </c>
      <c r="BZ43" s="51"/>
      <c r="CA43" s="51"/>
    </row>
    <row r="44" spans="1:81" hidden="1" outlineLevel="2" x14ac:dyDescent="0.15">
      <c r="A44" s="40" t="s">
        <v>151</v>
      </c>
      <c r="B44" s="40" t="s">
        <v>152</v>
      </c>
      <c r="AB44" s="42">
        <f>SUM(AB5:AB24,AB25:AB29,AB30:AB39)</f>
        <v>13583.588</v>
      </c>
      <c r="AC44" s="42">
        <f>SUM(AC5:AC24,AC25:AC29,AC30:AC39)</f>
        <v>12281.821999999998</v>
      </c>
      <c r="AD44" s="42">
        <f>SUM(AD5:AD24,AD25:AD29,AD30:AD39)</f>
        <v>42747.12999999999</v>
      </c>
      <c r="AE44" s="42">
        <f>SUM(AE5:AE24,AE25:AE29,AE30:AE39)</f>
        <v>256.86500000000001</v>
      </c>
      <c r="AZ44" s="42">
        <f>SUM(AZ5:AZ24,AZ25:AZ29,AZ30:AZ39)</f>
        <v>3703.7040000000006</v>
      </c>
      <c r="BA44" s="42">
        <f>SUM(BA5:BA24,BA25:BA29,BA30:BA39)</f>
        <v>4042.893</v>
      </c>
      <c r="BB44" s="42">
        <f>SUM(BB5:BB24,BB25:BB29,BB30:BB39)</f>
        <v>24577.121000000003</v>
      </c>
      <c r="BC44" s="42">
        <f>SUM(BC5:BC24,BC25:BC29,BC30:BC39)</f>
        <v>256.08100000000002</v>
      </c>
    </row>
    <row r="45" spans="1:81" hidden="1" outlineLevel="2" x14ac:dyDescent="0.15">
      <c r="B45" s="40" t="s">
        <v>153</v>
      </c>
      <c r="AZ45" s="47">
        <f>AZ44/AB44</f>
        <v>0.27266021319256745</v>
      </c>
      <c r="BA45" s="47">
        <f>BA44/AC44</f>
        <v>0.32917697390501188</v>
      </c>
      <c r="BB45" s="47">
        <f>BB44/AD44</f>
        <v>0.57494201365097508</v>
      </c>
      <c r="BC45" s="47">
        <f>BC44/AE44</f>
        <v>0.99694781305354951</v>
      </c>
    </row>
    <row r="46" spans="1:81" ht="27" hidden="1" outlineLevel="2" x14ac:dyDescent="0.15">
      <c r="B46" s="40" t="s">
        <v>154</v>
      </c>
      <c r="AB46" s="42">
        <f>GEOMEAN(AB5:AB24,AB25:AB29,AB30:AB39)</f>
        <v>539.64837334668141</v>
      </c>
      <c r="AC46" s="42">
        <f>GEOMEAN(AC5:AC24,AC25:AC29,AC30:AC39)</f>
        <v>485.97404488690677</v>
      </c>
      <c r="AD46" s="42">
        <f>GEOMEAN(AD5:AD24,AD25:AD29,AD30:AD39)</f>
        <v>1693.5332530839414</v>
      </c>
      <c r="AE46" s="42">
        <f>GEOMEAN(AE5:AE24,AE25:AE29,AE30:AE39)</f>
        <v>10.267166311101912</v>
      </c>
      <c r="AZ46" s="42">
        <f>GEOMEAN(AZ5:AZ24,AZ25:AZ29,AZ30:AZ39)</f>
        <v>143.27036740188015</v>
      </c>
      <c r="BA46" s="42">
        <f>GEOMEAN(BA5:BA24,BA25:BA29,BA30:BA39)</f>
        <v>143.83197294119495</v>
      </c>
      <c r="BB46" s="42">
        <f>GEOMEAN(BB5:BB24,BB25:BB29,BB30:BB39)</f>
        <v>959.14421686682283</v>
      </c>
      <c r="BC46" s="42">
        <f>GEOMEAN(BC5:BC24,BC25:BC29,BC30:BC39)</f>
        <v>10.234899001784559</v>
      </c>
    </row>
    <row r="47" spans="1:81" ht="27" outlineLevel="2" collapsed="1" x14ac:dyDescent="0.15">
      <c r="B47" s="40" t="s">
        <v>155</v>
      </c>
      <c r="AZ47" s="47">
        <f>AZ46/AB46</f>
        <v>0.26548837072068826</v>
      </c>
      <c r="BA47" s="47">
        <f>BA46/AC46</f>
        <v>0.29596636786367209</v>
      </c>
      <c r="BB47" s="47">
        <f>BB46/AD46</f>
        <v>0.56635688441322973</v>
      </c>
      <c r="BC47" s="47">
        <f>BC46/AE46</f>
        <v>0.99685723320927777</v>
      </c>
    </row>
  </sheetData>
  <mergeCells count="45">
    <mergeCell ref="BP2:BQ2"/>
    <mergeCell ref="BR2:BT2"/>
    <mergeCell ref="BV2:BY2"/>
    <mergeCell ref="CD2:CF2"/>
    <mergeCell ref="BZ2:CC2"/>
    <mergeCell ref="BL2:BN2"/>
    <mergeCell ref="AP2:AP3"/>
    <mergeCell ref="AQ2:AT2"/>
    <mergeCell ref="AU2:AV2"/>
    <mergeCell ref="AW2:AY2"/>
    <mergeCell ref="AZ2:BA2"/>
    <mergeCell ref="BB2:BC2"/>
    <mergeCell ref="BE2:BE3"/>
    <mergeCell ref="BF2:BF3"/>
    <mergeCell ref="BG2:BG3"/>
    <mergeCell ref="BH2:BH3"/>
    <mergeCell ref="BJ2:BK2"/>
    <mergeCell ref="AO2:AO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Q2:Q3"/>
    <mergeCell ref="A1:G1"/>
    <mergeCell ref="I1:AE1"/>
    <mergeCell ref="AG1:BC1"/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</mergeCells>
  <phoneticPr fontId="2" type="noConversion"/>
  <conditionalFormatting sqref="BE5:BE43">
    <cfRule type="cellIs" dxfId="87" priority="1" operator="greaterThanOrEqual">
      <formula>1.03</formula>
    </cfRule>
    <cfRule type="cellIs" dxfId="86" priority="2" operator="lessThanOrEqual">
      <formula>0.97</formula>
    </cfRule>
  </conditionalFormatting>
  <conditionalFormatting sqref="BJ5:BJ43">
    <cfRule type="cellIs" dxfId="85" priority="21" operator="greaterThanOrEqual">
      <formula>0.03</formula>
    </cfRule>
    <cfRule type="cellIs" dxfId="84" priority="22" operator="lessThanOrEqual">
      <formula>-0.03</formula>
    </cfRule>
  </conditionalFormatting>
  <conditionalFormatting sqref="BK5:BK43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BL5:BL43">
    <cfRule type="cellIs" dxfId="81" priority="5" operator="greaterThanOrEqual">
      <formula>0.03</formula>
    </cfRule>
    <cfRule type="cellIs" dxfId="80" priority="6" operator="lessThanOrEqual">
      <formula>-0.03</formula>
    </cfRule>
  </conditionalFormatting>
  <conditionalFormatting sqref="BM5:BM43">
    <cfRule type="cellIs" dxfId="79" priority="9" operator="greaterThanOrEqual">
      <formula>0.03</formula>
    </cfRule>
    <cfRule type="cellIs" dxfId="78" priority="10" operator="lessThanOrEqual">
      <formula>-0.03</formula>
    </cfRule>
  </conditionalFormatting>
  <conditionalFormatting sqref="BN5:BN43">
    <cfRule type="cellIs" dxfId="77" priority="11" operator="greaterThanOrEqual">
      <formula>0.03</formula>
    </cfRule>
    <cfRule type="cellIs" dxfId="76" priority="12" operator="lessThanOrEqual">
      <formula>-0.03</formula>
    </cfRule>
  </conditionalFormatting>
  <conditionalFormatting sqref="BP5:BP43">
    <cfRule type="cellIs" dxfId="75" priority="7" operator="greaterThanOrEqual">
      <formula>0.03</formula>
    </cfRule>
    <cfRule type="cellIs" dxfId="74" priority="8" operator="lessThanOrEqual">
      <formula>-0.03</formula>
    </cfRule>
  </conditionalFormatting>
  <conditionalFormatting sqref="BQ5:BQ43">
    <cfRule type="cellIs" dxfId="73" priority="13" operator="greaterThanOrEqual">
      <formula>0.03</formula>
    </cfRule>
    <cfRule type="cellIs" dxfId="72" priority="14" operator="lessThanOrEqual">
      <formula>-0.03</formula>
    </cfRule>
  </conditionalFormatting>
  <conditionalFormatting sqref="BR5:BR43">
    <cfRule type="cellIs" dxfId="71" priority="3" operator="greaterThanOrEqual">
      <formula>0.03</formula>
    </cfRule>
    <cfRule type="cellIs" dxfId="70" priority="4" operator="lessThanOrEqual">
      <formula>-0.03</formula>
    </cfRule>
  </conditionalFormatting>
  <conditionalFormatting sqref="BS5:BS43">
    <cfRule type="cellIs" dxfId="69" priority="15" operator="greaterThanOrEqual">
      <formula>0.03</formula>
    </cfRule>
    <cfRule type="cellIs" dxfId="68" priority="16" operator="lessThanOrEqual">
      <formula>-0.03</formula>
    </cfRule>
  </conditionalFormatting>
  <conditionalFormatting sqref="BT5:BT43">
    <cfRule type="cellIs" dxfId="67" priority="17" operator="greaterThanOrEqual">
      <formula>0.03</formula>
    </cfRule>
    <cfRule type="cellIs" dxfId="66" priority="1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AD8D3-A8BD-452C-9376-5A46DDCE5BDC}">
  <sheetPr>
    <outlinePr summaryBelow="0"/>
  </sheetPr>
  <dimension ref="A1:CF47"/>
  <sheetViews>
    <sheetView zoomScale="85" zoomScaleNormal="85" workbookViewId="0">
      <pane xSplit="2" ySplit="4" topLeftCell="BG5" activePane="bottomRight" state="frozen"/>
      <selection pane="topRight" activeCell="C1" sqref="C1"/>
      <selection pane="bottomLeft" activeCell="A5" sqref="A5"/>
      <selection pane="bottomRight" activeCell="CB3" sqref="CB3:CC3"/>
    </sheetView>
  </sheetViews>
  <sheetFormatPr defaultRowHeight="13.5" outlineLevelRow="2" x14ac:dyDescent="0.15"/>
  <cols>
    <col min="2" max="2" width="24.75" customWidth="1"/>
    <col min="4" max="5" width="10.75" customWidth="1"/>
    <col min="8" max="8" width="1.75" customWidth="1"/>
    <col min="10" max="13" width="10.75" customWidth="1"/>
    <col min="14" max="14" width="24.75" hidden="1" customWidth="1"/>
    <col min="15" max="15" width="12.75" customWidth="1"/>
    <col min="16" max="16" width="10.75" customWidth="1"/>
    <col min="19" max="22" width="12.75" customWidth="1"/>
    <col min="23" max="27" width="11.75" customWidth="1"/>
    <col min="32" max="32" width="1.75" customWidth="1"/>
    <col min="34" max="37" width="10.75" customWidth="1"/>
    <col min="38" max="38" width="24.75" hidden="1" customWidth="1"/>
    <col min="39" max="39" width="12.75" customWidth="1"/>
    <col min="40" max="40" width="10.75" customWidth="1"/>
    <col min="43" max="46" width="12.75" customWidth="1"/>
    <col min="47" max="51" width="11.75" customWidth="1"/>
    <col min="56" max="56" width="1.75" customWidth="1"/>
    <col min="61" max="61" width="1.75" customWidth="1"/>
    <col min="64" max="66" width="11.75" customWidth="1"/>
    <col min="67" max="67" width="1.75" customWidth="1"/>
    <col min="70" max="72" width="11.75" customWidth="1"/>
    <col min="73" max="73" width="1.75" customWidth="1"/>
    <col min="74" max="74" width="10.75" bestFit="1" customWidth="1"/>
    <col min="75" max="75" width="12" bestFit="1" customWidth="1"/>
    <col min="76" max="76" width="10.625" customWidth="1"/>
    <col min="77" max="79" width="11.25" customWidth="1"/>
    <col min="82" max="84" width="9" style="51"/>
  </cols>
  <sheetData>
    <row r="1" spans="1:84" x14ac:dyDescent="0.15">
      <c r="A1" s="70" t="s">
        <v>50</v>
      </c>
      <c r="B1" s="62"/>
      <c r="C1" s="62"/>
      <c r="D1" s="62"/>
      <c r="E1" s="62"/>
      <c r="F1" s="62"/>
      <c r="G1" s="62"/>
      <c r="I1" s="71" t="e">
        <f>#REF!</f>
        <v>#REF!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G1" s="72" t="e">
        <f>#REF!</f>
        <v>#REF!</v>
      </c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</row>
    <row r="2" spans="1:84" ht="30" customHeight="1" thickBot="1" x14ac:dyDescent="0.2">
      <c r="A2" s="69" t="s">
        <v>51</v>
      </c>
      <c r="B2" s="67" t="s">
        <v>52</v>
      </c>
      <c r="C2" s="69" t="s">
        <v>53</v>
      </c>
      <c r="D2" s="67" t="s">
        <v>54</v>
      </c>
      <c r="E2" s="69" t="s">
        <v>55</v>
      </c>
      <c r="F2" s="67" t="s">
        <v>56</v>
      </c>
      <c r="G2" s="69" t="s">
        <v>57</v>
      </c>
      <c r="I2" s="67" t="s">
        <v>58</v>
      </c>
      <c r="J2" s="63" t="s">
        <v>59</v>
      </c>
      <c r="K2" s="62"/>
      <c r="L2" s="62"/>
      <c r="M2" s="62"/>
      <c r="N2" s="69" t="s">
        <v>60</v>
      </c>
      <c r="O2" s="67" t="s">
        <v>61</v>
      </c>
      <c r="P2" s="69" t="s">
        <v>33</v>
      </c>
      <c r="Q2" s="67" t="s">
        <v>35</v>
      </c>
      <c r="R2" s="69" t="s">
        <v>31</v>
      </c>
      <c r="S2" s="61" t="s">
        <v>62</v>
      </c>
      <c r="T2" s="62"/>
      <c r="U2" s="62"/>
      <c r="V2" s="62"/>
      <c r="W2" s="63" t="s">
        <v>63</v>
      </c>
      <c r="X2" s="62"/>
      <c r="Y2" s="61" t="s">
        <v>64</v>
      </c>
      <c r="Z2" s="62"/>
      <c r="AA2" s="62"/>
      <c r="AB2" s="63" t="s">
        <v>65</v>
      </c>
      <c r="AC2" s="62"/>
      <c r="AD2" s="61" t="s">
        <v>66</v>
      </c>
      <c r="AE2" s="62"/>
      <c r="AG2" s="69" t="s">
        <v>58</v>
      </c>
      <c r="AH2" s="61" t="s">
        <v>59</v>
      </c>
      <c r="AI2" s="62"/>
      <c r="AJ2" s="62"/>
      <c r="AK2" s="62"/>
      <c r="AL2" s="67" t="s">
        <v>67</v>
      </c>
      <c r="AM2" s="69" t="s">
        <v>61</v>
      </c>
      <c r="AN2" s="67" t="s">
        <v>33</v>
      </c>
      <c r="AO2" s="69" t="s">
        <v>35</v>
      </c>
      <c r="AP2" s="67" t="s">
        <v>31</v>
      </c>
      <c r="AQ2" s="63" t="s">
        <v>62</v>
      </c>
      <c r="AR2" s="62"/>
      <c r="AS2" s="62"/>
      <c r="AT2" s="62"/>
      <c r="AU2" s="61" t="s">
        <v>63</v>
      </c>
      <c r="AV2" s="62"/>
      <c r="AW2" s="63" t="s">
        <v>64</v>
      </c>
      <c r="AX2" s="62"/>
      <c r="AY2" s="62"/>
      <c r="AZ2" s="61" t="s">
        <v>65</v>
      </c>
      <c r="BA2" s="62"/>
      <c r="BB2" s="63" t="s">
        <v>66</v>
      </c>
      <c r="BC2" s="62"/>
      <c r="BE2" s="67" t="s">
        <v>68</v>
      </c>
      <c r="BF2" s="69" t="s">
        <v>69</v>
      </c>
      <c r="BG2" s="67" t="s">
        <v>70</v>
      </c>
      <c r="BH2" s="69" t="s">
        <v>70</v>
      </c>
      <c r="BJ2" s="61" t="s">
        <v>0</v>
      </c>
      <c r="BK2" s="62"/>
      <c r="BL2" s="63" t="s">
        <v>1</v>
      </c>
      <c r="BM2" s="62"/>
      <c r="BN2" s="62"/>
      <c r="BP2" s="61" t="s">
        <v>2</v>
      </c>
      <c r="BQ2" s="62"/>
      <c r="BR2" s="63" t="s">
        <v>3</v>
      </c>
      <c r="BS2" s="62"/>
      <c r="BT2" s="62"/>
      <c r="BV2" s="64" t="s">
        <v>478</v>
      </c>
      <c r="BW2" s="64"/>
      <c r="BX2" s="64"/>
      <c r="BY2" s="64"/>
      <c r="BZ2" s="66" t="s">
        <v>481</v>
      </c>
      <c r="CA2" s="66"/>
      <c r="CB2" s="66"/>
      <c r="CC2" s="66"/>
      <c r="CD2" s="65" t="s">
        <v>484</v>
      </c>
      <c r="CE2" s="64"/>
      <c r="CF2" s="64"/>
    </row>
    <row r="3" spans="1:84" ht="14.25" thickBot="1" x14ac:dyDescent="0.2">
      <c r="A3" s="68"/>
      <c r="B3" s="68"/>
      <c r="C3" s="68"/>
      <c r="D3" s="68"/>
      <c r="E3" s="68"/>
      <c r="F3" s="68"/>
      <c r="G3" s="68"/>
      <c r="I3" s="68"/>
      <c r="J3" s="48" t="s">
        <v>15</v>
      </c>
      <c r="K3" s="48" t="s">
        <v>13</v>
      </c>
      <c r="L3" s="48" t="s">
        <v>71</v>
      </c>
      <c r="M3" s="48" t="s">
        <v>72</v>
      </c>
      <c r="N3" s="68"/>
      <c r="O3" s="68"/>
      <c r="P3" s="68"/>
      <c r="Q3" s="68"/>
      <c r="R3" s="68"/>
      <c r="S3" s="49" t="s">
        <v>15</v>
      </c>
      <c r="T3" s="49" t="s">
        <v>71</v>
      </c>
      <c r="U3" s="49" t="s">
        <v>73</v>
      </c>
      <c r="V3" s="49" t="s">
        <v>14</v>
      </c>
      <c r="W3" s="48" t="s">
        <v>4</v>
      </c>
      <c r="X3" s="48" t="s">
        <v>5</v>
      </c>
      <c r="Y3" s="49" t="s">
        <v>6</v>
      </c>
      <c r="Z3" s="49" t="s">
        <v>7</v>
      </c>
      <c r="AA3" s="49" t="s">
        <v>8</v>
      </c>
      <c r="AB3" s="48" t="s">
        <v>74</v>
      </c>
      <c r="AC3" s="48" t="s">
        <v>75</v>
      </c>
      <c r="AD3" s="49" t="s">
        <v>74</v>
      </c>
      <c r="AE3" s="49" t="s">
        <v>75</v>
      </c>
      <c r="AG3" s="68"/>
      <c r="AH3" s="49" t="s">
        <v>15</v>
      </c>
      <c r="AI3" s="49" t="s">
        <v>13</v>
      </c>
      <c r="AJ3" s="49" t="s">
        <v>71</v>
      </c>
      <c r="AK3" s="49" t="s">
        <v>72</v>
      </c>
      <c r="AL3" s="68"/>
      <c r="AM3" s="68"/>
      <c r="AN3" s="68"/>
      <c r="AO3" s="68"/>
      <c r="AP3" s="68"/>
      <c r="AQ3" s="48" t="s">
        <v>15</v>
      </c>
      <c r="AR3" s="48" t="s">
        <v>71</v>
      </c>
      <c r="AS3" s="48" t="s">
        <v>73</v>
      </c>
      <c r="AT3" s="48" t="s">
        <v>14</v>
      </c>
      <c r="AU3" s="49" t="s">
        <v>4</v>
      </c>
      <c r="AV3" s="49" t="s">
        <v>5</v>
      </c>
      <c r="AW3" s="48" t="s">
        <v>6</v>
      </c>
      <c r="AX3" s="48" t="s">
        <v>7</v>
      </c>
      <c r="AY3" s="48" t="s">
        <v>8</v>
      </c>
      <c r="AZ3" s="49" t="s">
        <v>74</v>
      </c>
      <c r="BA3" s="49" t="s">
        <v>75</v>
      </c>
      <c r="BB3" s="48" t="s">
        <v>74</v>
      </c>
      <c r="BC3" s="48" t="s">
        <v>75</v>
      </c>
      <c r="BE3" s="68"/>
      <c r="BF3" s="68"/>
      <c r="BG3" s="68"/>
      <c r="BH3" s="68"/>
      <c r="BJ3" s="49" t="s">
        <v>4</v>
      </c>
      <c r="BK3" s="49" t="s">
        <v>5</v>
      </c>
      <c r="BL3" s="48" t="s">
        <v>6</v>
      </c>
      <c r="BM3" s="48" t="s">
        <v>7</v>
      </c>
      <c r="BN3" s="48" t="s">
        <v>8</v>
      </c>
      <c r="BP3" s="49" t="s">
        <v>4</v>
      </c>
      <c r="BQ3" s="49" t="s">
        <v>5</v>
      </c>
      <c r="BR3" s="48" t="s">
        <v>6</v>
      </c>
      <c r="BS3" s="48" t="s">
        <v>7</v>
      </c>
      <c r="BT3" s="48" t="s">
        <v>8</v>
      </c>
      <c r="BV3" s="50" t="s">
        <v>71</v>
      </c>
      <c r="BW3" s="50" t="s">
        <v>479</v>
      </c>
      <c r="BX3" s="50" t="s">
        <v>480</v>
      </c>
      <c r="BY3" s="56" t="s">
        <v>487</v>
      </c>
      <c r="BZ3" s="53" t="s">
        <v>485</v>
      </c>
      <c r="CA3" s="50" t="s">
        <v>486</v>
      </c>
      <c r="CB3" s="50" t="s">
        <v>480</v>
      </c>
      <c r="CC3" s="56" t="s">
        <v>487</v>
      </c>
      <c r="CD3" s="50" t="s">
        <v>482</v>
      </c>
      <c r="CE3" s="50" t="s">
        <v>483</v>
      </c>
      <c r="CF3" s="50" t="s">
        <v>480</v>
      </c>
    </row>
    <row r="4" spans="1:84" ht="123" hidden="1" customHeight="1" thickBot="1" x14ac:dyDescent="0.2">
      <c r="A4" s="1" t="s">
        <v>76</v>
      </c>
      <c r="B4" s="2" t="s">
        <v>77</v>
      </c>
      <c r="C4" s="1" t="s">
        <v>78</v>
      </c>
      <c r="D4" s="2" t="s">
        <v>79</v>
      </c>
      <c r="E4" s="1" t="s">
        <v>80</v>
      </c>
      <c r="F4" s="2" t="s">
        <v>81</v>
      </c>
      <c r="G4" s="1" t="s">
        <v>82</v>
      </c>
      <c r="I4" s="2" t="s">
        <v>83</v>
      </c>
      <c r="J4" s="1" t="s">
        <v>84</v>
      </c>
      <c r="K4" s="1" t="s">
        <v>85</v>
      </c>
      <c r="L4" s="1" t="s">
        <v>86</v>
      </c>
      <c r="M4" s="1" t="s">
        <v>87</v>
      </c>
      <c r="N4" s="1" t="s">
        <v>88</v>
      </c>
      <c r="O4" s="2" t="s">
        <v>89</v>
      </c>
      <c r="P4" s="1" t="s">
        <v>90</v>
      </c>
      <c r="Q4" s="2" t="s">
        <v>91</v>
      </c>
      <c r="R4" s="1" t="s">
        <v>92</v>
      </c>
      <c r="S4" s="2" t="s">
        <v>93</v>
      </c>
      <c r="T4" s="2" t="s">
        <v>94</v>
      </c>
      <c r="U4" s="2" t="s">
        <v>95</v>
      </c>
      <c r="V4" s="2" t="s">
        <v>96</v>
      </c>
      <c r="W4" s="1" t="s">
        <v>97</v>
      </c>
      <c r="X4" s="1" t="s">
        <v>98</v>
      </c>
      <c r="Y4" s="2" t="s">
        <v>99</v>
      </c>
      <c r="Z4" s="2" t="s">
        <v>100</v>
      </c>
      <c r="AA4" s="2" t="s">
        <v>101</v>
      </c>
      <c r="AB4" s="1" t="s">
        <v>102</v>
      </c>
      <c r="AC4" s="1" t="s">
        <v>103</v>
      </c>
      <c r="AD4" s="2" t="s">
        <v>104</v>
      </c>
      <c r="AE4" s="2" t="s">
        <v>105</v>
      </c>
      <c r="AG4" s="1" t="s">
        <v>106</v>
      </c>
      <c r="AH4" s="2" t="s">
        <v>107</v>
      </c>
      <c r="AI4" s="2" t="s">
        <v>108</v>
      </c>
      <c r="AJ4" s="2" t="s">
        <v>109</v>
      </c>
      <c r="AK4" s="2" t="s">
        <v>110</v>
      </c>
      <c r="AL4" s="2" t="s">
        <v>111</v>
      </c>
      <c r="AM4" s="1" t="s">
        <v>112</v>
      </c>
      <c r="AN4" s="2" t="s">
        <v>113</v>
      </c>
      <c r="AO4" s="1" t="s">
        <v>114</v>
      </c>
      <c r="AP4" s="2" t="s">
        <v>115</v>
      </c>
      <c r="AQ4" s="1" t="s">
        <v>116</v>
      </c>
      <c r="AR4" s="1" t="s">
        <v>117</v>
      </c>
      <c r="AS4" s="1" t="s">
        <v>118</v>
      </c>
      <c r="AT4" s="1" t="s">
        <v>119</v>
      </c>
      <c r="AU4" s="2" t="s">
        <v>120</v>
      </c>
      <c r="AV4" s="2" t="s">
        <v>121</v>
      </c>
      <c r="AW4" s="1" t="s">
        <v>122</v>
      </c>
      <c r="AX4" s="1" t="s">
        <v>123</v>
      </c>
      <c r="AY4" s="1" t="s">
        <v>124</v>
      </c>
      <c r="AZ4" s="2" t="s">
        <v>125</v>
      </c>
      <c r="BA4" s="2" t="s">
        <v>126</v>
      </c>
      <c r="BB4" s="1" t="s">
        <v>127</v>
      </c>
      <c r="BC4" s="1" t="s">
        <v>128</v>
      </c>
      <c r="BE4" s="2" t="s">
        <v>129</v>
      </c>
      <c r="BF4" s="1" t="s">
        <v>130</v>
      </c>
      <c r="BG4" s="2" t="s">
        <v>131</v>
      </c>
      <c r="BH4" s="1" t="s">
        <v>132</v>
      </c>
      <c r="BJ4" s="2" t="s">
        <v>133</v>
      </c>
      <c r="BK4" s="2" t="s">
        <v>134</v>
      </c>
      <c r="BL4" s="1" t="s">
        <v>135</v>
      </c>
      <c r="BM4" s="1" t="s">
        <v>136</v>
      </c>
      <c r="BN4" s="1" t="s">
        <v>137</v>
      </c>
      <c r="BP4" s="2" t="s">
        <v>138</v>
      </c>
      <c r="BQ4" s="2" t="s">
        <v>139</v>
      </c>
      <c r="BR4" s="1" t="s">
        <v>140</v>
      </c>
      <c r="BS4" s="1" t="s">
        <v>141</v>
      </c>
      <c r="BT4" s="1" t="s">
        <v>142</v>
      </c>
      <c r="BZ4" s="54"/>
      <c r="CC4" s="57"/>
    </row>
    <row r="5" spans="1:84" x14ac:dyDescent="0.15">
      <c r="A5" s="46" t="s">
        <v>143</v>
      </c>
      <c r="B5" s="46" t="s">
        <v>17</v>
      </c>
      <c r="C5" s="3" t="s">
        <v>144</v>
      </c>
      <c r="D5" s="46">
        <v>238146391</v>
      </c>
      <c r="E5" s="3">
        <v>10</v>
      </c>
      <c r="F5" s="3">
        <v>32</v>
      </c>
      <c r="G5" s="3">
        <v>30</v>
      </c>
      <c r="I5" s="4">
        <f t="shared" ref="I5:I39" si="0">IF(OR(ISBLANK(S5),ISBLANK(G5)),"·",S5*G5/F5/1000000)</f>
        <v>2.1789900000000002</v>
      </c>
      <c r="J5" s="5">
        <f t="shared" ref="J5:J39" si="1">IF(ISBLANK(S5),"·",S5/D5)</f>
        <v>9.7597783877396652E-3</v>
      </c>
      <c r="K5" s="5">
        <f t="shared" ref="K5:K39" si="2">IF(N5="","·",N5/D5)</f>
        <v>6.1712629522905514E-3</v>
      </c>
      <c r="L5" s="5">
        <f t="shared" ref="L5:L39" si="3">IF(T5="","·",T5/D5)</f>
        <v>3.5270742356116581E-3</v>
      </c>
      <c r="M5" s="5">
        <f t="shared" ref="M5:M39" si="4">IF(ISBLANK(V5),"·",V5/D5)</f>
        <v>3.5885154354491143E-3</v>
      </c>
      <c r="N5" s="46">
        <f t="shared" ref="N5:N39" si="5">IF(OR(ISBLANK(T5),ISBLANK(U5)),"",T5+U5)</f>
        <v>1469664</v>
      </c>
      <c r="O5" s="5">
        <v>-12</v>
      </c>
      <c r="P5" s="6">
        <v>21771728</v>
      </c>
      <c r="Q5" s="6">
        <v>680366.5</v>
      </c>
      <c r="R5" s="6">
        <v>13458.65625</v>
      </c>
      <c r="S5" s="7">
        <v>2324256</v>
      </c>
      <c r="T5" s="7">
        <v>839960</v>
      </c>
      <c r="U5" s="7">
        <v>629704</v>
      </c>
      <c r="V5" s="7">
        <v>854592</v>
      </c>
      <c r="W5" s="8">
        <v>66.355962500000004</v>
      </c>
      <c r="X5" s="8">
        <v>68.483328125</v>
      </c>
      <c r="Y5" s="8">
        <v>32.113043750000003</v>
      </c>
      <c r="Z5" s="8">
        <v>44.188546875</v>
      </c>
      <c r="AA5" s="8">
        <v>43.811181249999898</v>
      </c>
      <c r="AB5" s="9">
        <v>431.88900000000001</v>
      </c>
      <c r="AC5" s="9">
        <v>404.07100000000003</v>
      </c>
      <c r="AD5" s="9">
        <v>1435.05</v>
      </c>
      <c r="AE5" s="9">
        <v>9.9529999999999994</v>
      </c>
      <c r="AG5" s="4">
        <f t="shared" ref="AG5:AG39" si="6">IF(OR(ISBLANK(AQ5),ISBLANK(G5)),"·",AQ5*G5/F5/1000000)</f>
        <v>2.1800774999999999</v>
      </c>
      <c r="AH5" s="5">
        <f t="shared" ref="AH5:AH39" si="7">IF(ISBLANK(AQ5),"·",AQ5/D5)</f>
        <v>9.7646493412532967E-3</v>
      </c>
      <c r="AI5" s="5">
        <f t="shared" ref="AI5:AI39" si="8">IF(AL5="","·",AL5/D5)</f>
        <v>6.1775448026839931E-3</v>
      </c>
      <c r="AJ5" s="5">
        <f t="shared" ref="AJ5:AJ39" si="9">IF(AR5="","·",AR5/D5)</f>
        <v>3.5333560860050994E-3</v>
      </c>
      <c r="AK5" s="5">
        <f t="shared" ref="AK5:AK39" si="10">IF(ISBLANK(AT5),"·",AT5/D5)</f>
        <v>3.587104538569304E-3</v>
      </c>
      <c r="AL5" s="46">
        <f t="shared" ref="AL5:AL39" si="11">IF(OR(ISBLANK(AR5),ISBLANK(AS5)),"",AR5+AS5)</f>
        <v>1471160</v>
      </c>
      <c r="AM5" s="5">
        <v>-12</v>
      </c>
      <c r="AN5" s="6"/>
      <c r="AO5" s="6"/>
      <c r="AP5" s="6"/>
      <c r="AQ5" s="7">
        <v>2325416</v>
      </c>
      <c r="AR5" s="7">
        <v>841456</v>
      </c>
      <c r="AS5" s="7">
        <v>629704</v>
      </c>
      <c r="AT5" s="7">
        <v>854256</v>
      </c>
      <c r="AU5" s="8">
        <v>66.356768749999901</v>
      </c>
      <c r="AV5" s="8">
        <v>68.483796874999996</v>
      </c>
      <c r="AW5" s="8">
        <v>32.116199999999999</v>
      </c>
      <c r="AX5" s="8">
        <v>44.196015625000001</v>
      </c>
      <c r="AY5" s="8">
        <v>43.843206250000001</v>
      </c>
      <c r="AZ5" s="9">
        <v>208.74700000000001</v>
      </c>
      <c r="BA5" s="9">
        <v>236.06</v>
      </c>
      <c r="BB5" s="9">
        <v>1045.5</v>
      </c>
      <c r="BC5" s="9">
        <v>9.7959999999999994</v>
      </c>
      <c r="BE5" s="44">
        <f t="shared" ref="BE5:BE43" si="12">AI5/K5</f>
        <v>1.0010179197421996</v>
      </c>
      <c r="BF5" s="10" t="e">
        <f t="shared" ref="BF5:BF39" si="13">(AP5/AO5) - (R5/Q5)</f>
        <v>#DIV/0!</v>
      </c>
      <c r="BG5" s="10">
        <f t="shared" ref="BG5:BG39" si="14">(AL5/AQ5) - (N5/S5)</f>
        <v>3.279041548750472E-4</v>
      </c>
      <c r="BH5" s="10">
        <f t="array" ref="BH5">AVERAGE(AL5:AL9/AQ5:AQ9) - AVERAGE(N5:N9/S5:S9)</f>
        <v>-8.4985574454077284E-5</v>
      </c>
      <c r="BJ5" s="44">
        <f>IF( OR(ISBLANK(N5:N9),ISBLANK(AL5:AL9), ISBLANK(W5:W9),ISBLANK(AU5:AU9)), "·", bdRateExtend( N5:N9,W5:W9, AL5:AL9,AU5:AU9))</f>
        <v>7.9788506201272646E-4</v>
      </c>
      <c r="BK5" s="44">
        <f>IF( OR(ISBLANK(N5:N9),ISBLANK(AL5:AL9), ISBLANK(X5:X9),ISBLANK(AV5:AV9)), "·", bdRateExtend( N5:N9,X5:X9, AL5:AL9,AV5:AV9))</f>
        <v>1.142884653898335E-3</v>
      </c>
      <c r="BL5" s="44">
        <f>IF( OR(ISBLANK(V5:V9),ISBLANK(AT5:AT9), ISBLANK(Y5:Y9),ISBLANK(AW5:AW9)), "·", bdRateExtend( V5:V9,Y5:Y9, AT5:AT9,AW5:AW9))</f>
        <v>5.648990244486729E-4</v>
      </c>
      <c r="BM5" s="44">
        <f>IF( OR(ISBLANK(V5:V9),ISBLANK(AT5:AT9), ISBLANK(Z5:Z9),ISBLANK(AX5:AX9)), "·", bdRateExtend( V5:V9,Z5:Z9, AT5:AT9,AX5:AX9))</f>
        <v>-2.1398930222291668E-3</v>
      </c>
      <c r="BN5" s="44">
        <f>IF( OR(ISBLANK(V5:V9),ISBLANK(AT5:AT9), ISBLANK(AA5:AA9),ISBLANK(AY5:AY9)), "·", bdRateExtend( V5:V9,AA5:AA9, AT5:AT9,AY5:AY9))</f>
        <v>-3.8432533116024015E-3</v>
      </c>
      <c r="BP5" s="44">
        <f>IF( OR(ISBLANK(S5:S9),ISBLANK(AQ5:AQ9), ISBLANK(W5:W9),ISBLANK(AU5:AU9)), "·", bdRateExtend( S5:S9,W5:W9, AQ5:AQ9,AU5:AU9))</f>
        <v>1.0464976953052929E-3</v>
      </c>
      <c r="BQ5" s="44">
        <f>IF( OR(ISBLANK(S5:S9),ISBLANK(AQ5:AQ9), ISBLANK(X5:X9),ISBLANK(AV5:AV9)), "·", bdRateExtend( S5:S9,X5:X9, AQ5:AQ9,AV5:AV9))</f>
        <v>1.2743997782331817E-3</v>
      </c>
      <c r="BR5" s="44">
        <f>IF( OR(ISBLANK(S5:S9),ISBLANK(AQ5:AQ9), ISBLANK(Y5:Y9),ISBLANK(AW5:AW9)), "·", bdRateExtend( S5:S9,Y5:Y9, AQ5:AQ9,AW5:AW9))</f>
        <v>5.6026423173483053E-4</v>
      </c>
      <c r="BS5" s="44">
        <f>IF( OR(ISBLANK(S5:S9),ISBLANK(AQ5:AQ9), ISBLANK(Z5:Z9),ISBLANK(AX5:AX9)), "·", bdRateExtend( S5:S9,Z5:Z9, AQ5:AQ9,AX5:AX9))</f>
        <v>-4.2122190199977982E-4</v>
      </c>
      <c r="BT5" s="44">
        <f>IF( OR(ISBLANK(S5:S9),ISBLANK(AQ5:AQ9), ISBLANK(AA5:AA9),ISBLANK(AY5:AY9)), "·", bdRateExtend( S5:S9,AA5:AA9, AQ5:AQ9,AY5:AY9))</f>
        <v>-2.0922356813667387E-3</v>
      </c>
      <c r="BV5" s="51">
        <f t="shared" ref="BV5:BX20" si="15">(AB5-AZ5)/AB5</f>
        <v>0.51666516165033138</v>
      </c>
      <c r="BW5" s="51">
        <f t="shared" si="15"/>
        <v>0.41579573886767429</v>
      </c>
      <c r="BX5" s="51">
        <f t="shared" si="15"/>
        <v>0.27145395630814256</v>
      </c>
      <c r="BY5" s="51">
        <f>AVERAGE(BV5:BW5)</f>
        <v>0.46623045025900284</v>
      </c>
      <c r="BZ5" s="55"/>
      <c r="CA5" s="51"/>
      <c r="CC5" s="57"/>
    </row>
    <row r="6" spans="1:84" outlineLevel="1" x14ac:dyDescent="0.15">
      <c r="A6" s="11"/>
      <c r="B6" s="11" t="s">
        <v>17</v>
      </c>
      <c r="C6" s="12" t="s">
        <v>145</v>
      </c>
      <c r="D6" s="11">
        <v>238146391</v>
      </c>
      <c r="E6" s="12">
        <v>10</v>
      </c>
      <c r="F6" s="12">
        <v>32</v>
      </c>
      <c r="G6" s="12">
        <v>30</v>
      </c>
      <c r="I6" s="13">
        <f t="shared" si="0"/>
        <v>3.388665</v>
      </c>
      <c r="J6" s="14">
        <f t="shared" si="1"/>
        <v>1.5177958334040006E-2</v>
      </c>
      <c r="K6" s="14">
        <f t="shared" si="2"/>
        <v>7.5204498900006429E-3</v>
      </c>
      <c r="L6" s="14">
        <f t="shared" si="3"/>
        <v>4.8762611733217491E-3</v>
      </c>
      <c r="M6" s="14">
        <f t="shared" si="4"/>
        <v>7.6575084440393638E-3</v>
      </c>
      <c r="N6" s="11">
        <f t="shared" si="5"/>
        <v>1790968</v>
      </c>
      <c r="O6" s="14">
        <v>-12</v>
      </c>
      <c r="P6" s="15">
        <v>24147688</v>
      </c>
      <c r="Q6" s="15">
        <v>754615.25</v>
      </c>
      <c r="R6" s="15">
        <v>19012.03125</v>
      </c>
      <c r="S6" s="16">
        <v>3614576</v>
      </c>
      <c r="T6" s="16">
        <v>1161264</v>
      </c>
      <c r="U6" s="16">
        <v>629704</v>
      </c>
      <c r="V6" s="16">
        <v>1823608</v>
      </c>
      <c r="W6" s="17">
        <v>68.241949999999903</v>
      </c>
      <c r="X6" s="17">
        <v>70.429959374999996</v>
      </c>
      <c r="Y6" s="17">
        <v>34.357659374999997</v>
      </c>
      <c r="Z6" s="17">
        <v>45.4717531249999</v>
      </c>
      <c r="AA6" s="17">
        <v>45.224109374999998</v>
      </c>
      <c r="AB6" s="18">
        <v>463.45600000000002</v>
      </c>
      <c r="AC6" s="18">
        <v>410.53100000000001</v>
      </c>
      <c r="AD6" s="18">
        <v>1478.13</v>
      </c>
      <c r="AE6" s="18">
        <v>9.859</v>
      </c>
      <c r="AG6" s="13">
        <f t="shared" si="6"/>
        <v>3.3941325</v>
      </c>
      <c r="AH6" s="14">
        <f t="shared" si="7"/>
        <v>1.5202447472739572E-2</v>
      </c>
      <c r="AI6" s="14">
        <f t="shared" si="8"/>
        <v>7.5279074877939263E-3</v>
      </c>
      <c r="AJ6" s="14">
        <f t="shared" si="9"/>
        <v>4.8837187711150325E-3</v>
      </c>
      <c r="AK6" s="14">
        <f t="shared" si="10"/>
        <v>7.6745399849456461E-3</v>
      </c>
      <c r="AL6" s="11">
        <f t="shared" si="11"/>
        <v>1792744</v>
      </c>
      <c r="AM6" s="14">
        <v>-12</v>
      </c>
      <c r="AN6" s="15"/>
      <c r="AO6" s="15"/>
      <c r="AP6" s="15"/>
      <c r="AQ6" s="16">
        <v>3620408</v>
      </c>
      <c r="AR6" s="16">
        <v>1163040</v>
      </c>
      <c r="AS6" s="16">
        <v>629704</v>
      </c>
      <c r="AT6" s="16">
        <v>1827664</v>
      </c>
      <c r="AU6" s="17">
        <v>68.249662499999999</v>
      </c>
      <c r="AV6" s="17">
        <v>70.438456250000002</v>
      </c>
      <c r="AW6" s="17">
        <v>34.360903125</v>
      </c>
      <c r="AX6" s="17">
        <v>45.511740625000002</v>
      </c>
      <c r="AY6" s="17">
        <v>45.2498906249999</v>
      </c>
      <c r="AZ6" s="18">
        <v>238.60900000000001</v>
      </c>
      <c r="BA6" s="18">
        <v>242.566</v>
      </c>
      <c r="BB6" s="18">
        <v>1084.6400000000001</v>
      </c>
      <c r="BC6" s="18">
        <v>9.843</v>
      </c>
      <c r="BE6" s="43">
        <f t="shared" si="12"/>
        <v>1.0009916425084089</v>
      </c>
      <c r="BF6" s="19" t="e">
        <f t="shared" si="13"/>
        <v>#DIV/0!</v>
      </c>
      <c r="BG6" s="19">
        <f t="shared" si="14"/>
        <v>-3.0760848348415637E-4</v>
      </c>
      <c r="BH6" s="19"/>
      <c r="BJ6" s="43"/>
      <c r="BK6" s="43"/>
      <c r="BL6" s="43"/>
      <c r="BM6" s="43"/>
      <c r="BN6" s="43"/>
      <c r="BP6" s="43"/>
      <c r="BQ6" s="43"/>
      <c r="BR6" s="43"/>
      <c r="BS6" s="43"/>
      <c r="BT6" s="43"/>
      <c r="BV6" s="51">
        <f t="shared" si="15"/>
        <v>0.48515285161913968</v>
      </c>
      <c r="BW6" s="51">
        <f t="shared" si="15"/>
        <v>0.40914084441857007</v>
      </c>
      <c r="BX6" s="51">
        <f t="shared" si="15"/>
        <v>0.26620797900049387</v>
      </c>
      <c r="BY6" s="51">
        <f t="shared" ref="BY6:BY39" si="16">AVERAGE(BV6:BW6)</f>
        <v>0.44714684801885485</v>
      </c>
      <c r="BZ6" s="55"/>
      <c r="CA6" s="51"/>
      <c r="CC6" s="57"/>
    </row>
    <row r="7" spans="1:84" outlineLevel="1" x14ac:dyDescent="0.15">
      <c r="A7" s="46"/>
      <c r="B7" s="46" t="s">
        <v>17</v>
      </c>
      <c r="C7" s="3" t="s">
        <v>146</v>
      </c>
      <c r="D7" s="46">
        <v>238146391</v>
      </c>
      <c r="E7" s="3">
        <v>10</v>
      </c>
      <c r="F7" s="3">
        <v>32</v>
      </c>
      <c r="G7" s="3">
        <v>30</v>
      </c>
      <c r="I7" s="4">
        <f t="shared" si="0"/>
        <v>5.5621875000000003</v>
      </c>
      <c r="J7" s="5">
        <f t="shared" si="1"/>
        <v>2.4913247583080108E-2</v>
      </c>
      <c r="K7" s="5">
        <f t="shared" si="2"/>
        <v>9.4649681254250044E-3</v>
      </c>
      <c r="L7" s="5">
        <f t="shared" si="3"/>
        <v>6.8207794087461106E-3</v>
      </c>
      <c r="M7" s="5">
        <f t="shared" si="4"/>
        <v>1.5448279457655102E-2</v>
      </c>
      <c r="N7" s="46">
        <f t="shared" si="5"/>
        <v>2254048</v>
      </c>
      <c r="O7" s="5">
        <v>-12</v>
      </c>
      <c r="P7" s="6">
        <v>24798303</v>
      </c>
      <c r="Q7" s="6">
        <v>774946.96875</v>
      </c>
      <c r="R7" s="6">
        <v>20946</v>
      </c>
      <c r="S7" s="7">
        <v>5933000</v>
      </c>
      <c r="T7" s="7">
        <v>1624344</v>
      </c>
      <c r="U7" s="7">
        <v>629704</v>
      </c>
      <c r="V7" s="7">
        <v>3678952</v>
      </c>
      <c r="W7" s="8">
        <v>69.679040624999999</v>
      </c>
      <c r="X7" s="8">
        <v>72.1286249999999</v>
      </c>
      <c r="Y7" s="8">
        <v>36.89405</v>
      </c>
      <c r="Z7" s="8">
        <v>46.603406249999999</v>
      </c>
      <c r="AA7" s="8">
        <v>46.480725</v>
      </c>
      <c r="AB7" s="9">
        <v>494.35500000000002</v>
      </c>
      <c r="AC7" s="9">
        <v>423.44600000000003</v>
      </c>
      <c r="AD7" s="9">
        <v>1530.16</v>
      </c>
      <c r="AE7" s="9">
        <v>9.7650000000000006</v>
      </c>
      <c r="AG7" s="4">
        <f t="shared" si="6"/>
        <v>5.5698524999999997</v>
      </c>
      <c r="AH7" s="5">
        <f t="shared" si="7"/>
        <v>2.4947579407155491E-2</v>
      </c>
      <c r="AI7" s="5">
        <f t="shared" si="8"/>
        <v>9.4681258470131514E-3</v>
      </c>
      <c r="AJ7" s="5">
        <f t="shared" si="9"/>
        <v>6.8239371303342577E-3</v>
      </c>
      <c r="AK7" s="5">
        <f t="shared" si="10"/>
        <v>1.5479453560142341E-2</v>
      </c>
      <c r="AL7" s="46">
        <f t="shared" si="11"/>
        <v>2254800</v>
      </c>
      <c r="AM7" s="5">
        <v>-12</v>
      </c>
      <c r="AN7" s="6"/>
      <c r="AO7" s="6"/>
      <c r="AP7" s="6"/>
      <c r="AQ7" s="7">
        <v>5941176</v>
      </c>
      <c r="AR7" s="7">
        <v>1625096</v>
      </c>
      <c r="AS7" s="7">
        <v>629704</v>
      </c>
      <c r="AT7" s="7">
        <v>3686376</v>
      </c>
      <c r="AU7" s="8">
        <v>69.672700000000006</v>
      </c>
      <c r="AV7" s="8">
        <v>72.12228125</v>
      </c>
      <c r="AW7" s="8">
        <v>36.89871875</v>
      </c>
      <c r="AX7" s="8">
        <v>46.588068749999998</v>
      </c>
      <c r="AY7" s="8">
        <v>46.470781249999902</v>
      </c>
      <c r="AZ7" s="9">
        <v>268.99099999999999</v>
      </c>
      <c r="BA7" s="9">
        <v>254.29</v>
      </c>
      <c r="BB7" s="9">
        <v>1134</v>
      </c>
      <c r="BC7" s="9">
        <v>9.9529999999999994</v>
      </c>
      <c r="BE7" s="44">
        <f t="shared" si="12"/>
        <v>1.0003336219991765</v>
      </c>
      <c r="BF7" s="10" t="e">
        <f t="shared" si="13"/>
        <v>#DIV/0!</v>
      </c>
      <c r="BG7" s="10">
        <f t="shared" si="14"/>
        <v>-3.9625185265784735E-4</v>
      </c>
      <c r="BH7" s="10"/>
      <c r="BJ7" s="44"/>
      <c r="BK7" s="44"/>
      <c r="BL7" s="44"/>
      <c r="BM7" s="44"/>
      <c r="BN7" s="44"/>
      <c r="BP7" s="44"/>
      <c r="BQ7" s="44"/>
      <c r="BR7" s="44"/>
      <c r="BS7" s="44"/>
      <c r="BT7" s="44"/>
      <c r="BV7" s="51">
        <f t="shared" si="15"/>
        <v>0.45587482679451008</v>
      </c>
      <c r="BW7" s="51">
        <f t="shared" si="15"/>
        <v>0.39947478545080134</v>
      </c>
      <c r="BX7" s="51">
        <f t="shared" si="15"/>
        <v>0.25890102995765152</v>
      </c>
      <c r="BY7" s="51">
        <f t="shared" si="16"/>
        <v>0.42767480612265574</v>
      </c>
      <c r="BZ7" s="55"/>
      <c r="CA7" s="51"/>
      <c r="CC7" s="57"/>
    </row>
    <row r="8" spans="1:84" outlineLevel="1" x14ac:dyDescent="0.15">
      <c r="A8" s="11"/>
      <c r="B8" s="11" t="s">
        <v>17</v>
      </c>
      <c r="C8" s="12" t="s">
        <v>147</v>
      </c>
      <c r="D8" s="11">
        <v>238146391</v>
      </c>
      <c r="E8" s="12">
        <v>10</v>
      </c>
      <c r="F8" s="12">
        <v>32</v>
      </c>
      <c r="G8" s="12">
        <v>30</v>
      </c>
      <c r="I8" s="13">
        <f t="shared" si="0"/>
        <v>9.4267649999999996</v>
      </c>
      <c r="J8" s="14">
        <f t="shared" si="1"/>
        <v>4.2222835953033611E-2</v>
      </c>
      <c r="K8" s="14">
        <f t="shared" si="2"/>
        <v>1.2729682726957639E-2</v>
      </c>
      <c r="L8" s="14">
        <f t="shared" si="3"/>
        <v>1.0085494010278745E-2</v>
      </c>
      <c r="M8" s="14">
        <f t="shared" si="4"/>
        <v>2.9493153226075972E-2</v>
      </c>
      <c r="N8" s="11">
        <f t="shared" si="5"/>
        <v>3031528</v>
      </c>
      <c r="O8" s="14">
        <v>-12</v>
      </c>
      <c r="P8" s="15">
        <v>25806958</v>
      </c>
      <c r="Q8" s="15">
        <v>806467.4375</v>
      </c>
      <c r="R8" s="15">
        <v>24305.84375</v>
      </c>
      <c r="S8" s="16">
        <v>10055216</v>
      </c>
      <c r="T8" s="16">
        <v>2401824</v>
      </c>
      <c r="U8" s="16">
        <v>629704</v>
      </c>
      <c r="V8" s="16">
        <v>7023688</v>
      </c>
      <c r="W8" s="17">
        <v>70.829490625000005</v>
      </c>
      <c r="X8" s="17">
        <v>73.399412499999997</v>
      </c>
      <c r="Y8" s="17">
        <v>39.521596875</v>
      </c>
      <c r="Z8" s="17">
        <v>47.923753124999998</v>
      </c>
      <c r="AA8" s="17">
        <v>47.9429374999999</v>
      </c>
      <c r="AB8" s="18">
        <v>535.47900000000004</v>
      </c>
      <c r="AC8" s="18">
        <v>446.67</v>
      </c>
      <c r="AD8" s="18">
        <v>1586.61</v>
      </c>
      <c r="AE8" s="18">
        <v>9.875</v>
      </c>
      <c r="AG8" s="13">
        <f t="shared" si="6"/>
        <v>9.4346925000000006</v>
      </c>
      <c r="AH8" s="14">
        <f t="shared" si="7"/>
        <v>4.2258343524508836E-2</v>
      </c>
      <c r="AI8" s="14">
        <f t="shared" si="8"/>
        <v>1.2744329180281384E-2</v>
      </c>
      <c r="AJ8" s="14">
        <f t="shared" si="9"/>
        <v>1.010014046360249E-2</v>
      </c>
      <c r="AK8" s="14">
        <f t="shared" si="10"/>
        <v>2.9514014344227454E-2</v>
      </c>
      <c r="AL8" s="11">
        <f t="shared" si="11"/>
        <v>3035016</v>
      </c>
      <c r="AM8" s="14">
        <v>-12</v>
      </c>
      <c r="AN8" s="15"/>
      <c r="AO8" s="15"/>
      <c r="AP8" s="15"/>
      <c r="AQ8" s="16">
        <v>10063672</v>
      </c>
      <c r="AR8" s="16">
        <v>2405312</v>
      </c>
      <c r="AS8" s="16">
        <v>629704</v>
      </c>
      <c r="AT8" s="16">
        <v>7028656</v>
      </c>
      <c r="AU8" s="17">
        <v>70.825743750000001</v>
      </c>
      <c r="AV8" s="17">
        <v>73.397690624999896</v>
      </c>
      <c r="AW8" s="17">
        <v>39.522693750000002</v>
      </c>
      <c r="AX8" s="17">
        <v>47.90758125</v>
      </c>
      <c r="AY8" s="17">
        <v>47.9457687499999</v>
      </c>
      <c r="AZ8" s="18">
        <v>299.06700000000001</v>
      </c>
      <c r="BA8" s="18">
        <v>276.85700000000003</v>
      </c>
      <c r="BB8" s="18">
        <v>1190.22</v>
      </c>
      <c r="BC8" s="18">
        <v>9.9529999999999994</v>
      </c>
      <c r="BE8" s="43">
        <f t="shared" si="12"/>
        <v>1.0011505748916059</v>
      </c>
      <c r="BF8" s="19" t="e">
        <f t="shared" si="13"/>
        <v>#DIV/0!</v>
      </c>
      <c r="BG8" s="19">
        <f t="shared" si="14"/>
        <v>9.3267805090391231E-5</v>
      </c>
      <c r="BH8" s="19"/>
      <c r="BJ8" s="43"/>
      <c r="BK8" s="43"/>
      <c r="BL8" s="43"/>
      <c r="BM8" s="43"/>
      <c r="BN8" s="43"/>
      <c r="BP8" s="43"/>
      <c r="BQ8" s="43"/>
      <c r="BR8" s="43"/>
      <c r="BS8" s="43"/>
      <c r="BT8" s="43"/>
      <c r="BV8" s="51">
        <f t="shared" si="15"/>
        <v>0.44149630517723387</v>
      </c>
      <c r="BW8" s="51">
        <f t="shared" si="15"/>
        <v>0.38017552107820085</v>
      </c>
      <c r="BX8" s="51">
        <f t="shared" si="15"/>
        <v>0.24983455291470488</v>
      </c>
      <c r="BY8" s="51">
        <f t="shared" si="16"/>
        <v>0.41083591312771739</v>
      </c>
      <c r="BZ8" s="55"/>
      <c r="CA8" s="51"/>
      <c r="CC8" s="57"/>
    </row>
    <row r="9" spans="1:84" ht="14.25" outlineLevel="1" thickBot="1" x14ac:dyDescent="0.2">
      <c r="A9" s="46"/>
      <c r="B9" s="20" t="s">
        <v>17</v>
      </c>
      <c r="C9" s="21" t="s">
        <v>148</v>
      </c>
      <c r="D9" s="20">
        <v>238146391</v>
      </c>
      <c r="E9" s="21">
        <v>10</v>
      </c>
      <c r="F9" s="21">
        <v>32</v>
      </c>
      <c r="G9" s="21">
        <v>30</v>
      </c>
      <c r="I9" s="22">
        <f t="shared" si="0"/>
        <v>16.8055275</v>
      </c>
      <c r="J9" s="23">
        <f t="shared" si="1"/>
        <v>7.5272591470848707E-2</v>
      </c>
      <c r="K9" s="23">
        <f t="shared" si="2"/>
        <v>2.0658352114183414E-2</v>
      </c>
      <c r="L9" s="23">
        <f t="shared" si="3"/>
        <v>1.5548050022727408E-2</v>
      </c>
      <c r="M9" s="23">
        <f t="shared" si="4"/>
        <v>5.461423935666529E-2</v>
      </c>
      <c r="N9" s="20">
        <f t="shared" si="5"/>
        <v>4919712</v>
      </c>
      <c r="O9" s="23">
        <v>-12</v>
      </c>
      <c r="P9" s="24">
        <v>24863702</v>
      </c>
      <c r="Q9" s="24">
        <v>776990.6875</v>
      </c>
      <c r="R9" s="24">
        <v>10657.0625</v>
      </c>
      <c r="S9" s="25">
        <v>17925896</v>
      </c>
      <c r="T9" s="25">
        <v>3702712</v>
      </c>
      <c r="U9" s="25">
        <v>1217000</v>
      </c>
      <c r="V9" s="25">
        <v>13006184</v>
      </c>
      <c r="W9" s="26">
        <v>71.945081250000001</v>
      </c>
      <c r="X9" s="26">
        <v>75.324081250000006</v>
      </c>
      <c r="Y9" s="26">
        <v>42.094303124999897</v>
      </c>
      <c r="Z9" s="26">
        <v>49.4176312499999</v>
      </c>
      <c r="AA9" s="26">
        <v>49.554403125</v>
      </c>
      <c r="AB9" s="27">
        <v>570.01099999999997</v>
      </c>
      <c r="AC9" s="27">
        <v>493.15699999999998</v>
      </c>
      <c r="AD9" s="27">
        <v>1681.13</v>
      </c>
      <c r="AE9" s="27">
        <v>9.859</v>
      </c>
      <c r="AG9" s="22">
        <f t="shared" si="6"/>
        <v>16.8171675</v>
      </c>
      <c r="AH9" s="23">
        <f t="shared" si="7"/>
        <v>7.5324727469835984E-2</v>
      </c>
      <c r="AI9" s="23">
        <f t="shared" si="8"/>
        <v>2.0661946541948646E-2</v>
      </c>
      <c r="AJ9" s="23">
        <f t="shared" si="9"/>
        <v>1.5551644450492638E-2</v>
      </c>
      <c r="AK9" s="23">
        <f t="shared" si="10"/>
        <v>5.4662780927887338E-2</v>
      </c>
      <c r="AL9" s="20">
        <f t="shared" si="11"/>
        <v>4920568</v>
      </c>
      <c r="AM9" s="23">
        <v>-12</v>
      </c>
      <c r="AN9" s="24"/>
      <c r="AO9" s="24"/>
      <c r="AP9" s="24"/>
      <c r="AQ9" s="25">
        <v>17938312</v>
      </c>
      <c r="AR9" s="25">
        <v>3703568</v>
      </c>
      <c r="AS9" s="25">
        <v>1217000</v>
      </c>
      <c r="AT9" s="25">
        <v>13017744</v>
      </c>
      <c r="AU9" s="26">
        <v>71.950443749999906</v>
      </c>
      <c r="AV9" s="26">
        <v>75.313037499999993</v>
      </c>
      <c r="AW9" s="26">
        <v>42.0970062499999</v>
      </c>
      <c r="AX9" s="26">
        <v>49.425274999999999</v>
      </c>
      <c r="AY9" s="26">
        <v>49.562753124999901</v>
      </c>
      <c r="AZ9" s="27">
        <v>338.10899999999998</v>
      </c>
      <c r="BA9" s="27">
        <v>323.90199999999999</v>
      </c>
      <c r="BB9" s="27">
        <v>1291.25</v>
      </c>
      <c r="BC9" s="27">
        <v>9.8119999999999994</v>
      </c>
      <c r="BE9" s="28">
        <f t="shared" si="12"/>
        <v>1.0001739939248477</v>
      </c>
      <c r="BF9" s="29" t="e">
        <f t="shared" si="13"/>
        <v>#DIV/0!</v>
      </c>
      <c r="BG9" s="29">
        <f t="shared" si="14"/>
        <v>-1.4223949609393216E-4</v>
      </c>
      <c r="BH9" s="29"/>
      <c r="BJ9" s="28"/>
      <c r="BK9" s="28"/>
      <c r="BL9" s="28"/>
      <c r="BM9" s="28"/>
      <c r="BN9" s="28"/>
      <c r="BP9" s="28"/>
      <c r="BQ9" s="28"/>
      <c r="BR9" s="28"/>
      <c r="BS9" s="28"/>
      <c r="BT9" s="28"/>
      <c r="BV9" s="51">
        <f t="shared" si="15"/>
        <v>0.40683776278001654</v>
      </c>
      <c r="BW9" s="51">
        <f t="shared" si="15"/>
        <v>0.34320713281977139</v>
      </c>
      <c r="BX9" s="51">
        <f t="shared" si="15"/>
        <v>0.23191543783050692</v>
      </c>
      <c r="BY9" s="51">
        <f t="shared" si="16"/>
        <v>0.37502244779989397</v>
      </c>
      <c r="BZ9" s="55">
        <f>AVERAGE(BV5:BV9)</f>
        <v>0.46120538160424623</v>
      </c>
      <c r="CA9" s="51">
        <f t="shared" ref="CA9" si="17">AVERAGE(BW5:BW9)</f>
        <v>0.38955880452700364</v>
      </c>
      <c r="CB9" s="51">
        <f>AVERAGE(BX5:BX9)</f>
        <v>0.25566259120229995</v>
      </c>
      <c r="CC9" s="58">
        <f>AVERAGE(BY5:BY9)</f>
        <v>0.42538209306562502</v>
      </c>
      <c r="CD9" s="51">
        <f>(SUM(AB5:AB9)-SUM(AZ5:AZ9))/SUM(AB5:AB9)</f>
        <v>0.45754712066015019</v>
      </c>
      <c r="CE9" s="51">
        <f>(SUM(AC5:AC9)-SUM(BA5:BA9))/SUM(AC5:AC9)</f>
        <v>0.38762555243069519</v>
      </c>
      <c r="CF9" s="51">
        <f>(SUM(AB5:AC9)-SUM(AZ5:BA9))/SUM(AB5:AC9)</f>
        <v>0.42496027767642863</v>
      </c>
    </row>
    <row r="10" spans="1:84" x14ac:dyDescent="0.15">
      <c r="A10" s="11"/>
      <c r="B10" s="11" t="s">
        <v>20</v>
      </c>
      <c r="C10" s="12" t="s">
        <v>144</v>
      </c>
      <c r="D10" s="11">
        <v>218121242</v>
      </c>
      <c r="E10" s="12">
        <v>10</v>
      </c>
      <c r="F10" s="12">
        <v>32</v>
      </c>
      <c r="G10" s="12">
        <v>30</v>
      </c>
      <c r="I10" s="13">
        <f t="shared" si="0"/>
        <v>3.1803675</v>
      </c>
      <c r="J10" s="14">
        <f t="shared" si="1"/>
        <v>1.555278142052758E-2</v>
      </c>
      <c r="K10" s="14">
        <f t="shared" si="2"/>
        <v>8.0389419385389349E-3</v>
      </c>
      <c r="L10" s="14">
        <f t="shared" si="3"/>
        <v>4.2751636266586089E-3</v>
      </c>
      <c r="M10" s="14">
        <f t="shared" si="4"/>
        <v>7.5138394819886456E-3</v>
      </c>
      <c r="N10" s="11">
        <f t="shared" si="5"/>
        <v>1753464</v>
      </c>
      <c r="O10" s="14">
        <v>-12</v>
      </c>
      <c r="P10" s="15">
        <v>20646708</v>
      </c>
      <c r="Q10" s="15">
        <v>645209.625</v>
      </c>
      <c r="R10" s="15">
        <v>18054.21875</v>
      </c>
      <c r="S10" s="16">
        <v>3392392</v>
      </c>
      <c r="T10" s="16">
        <v>932504</v>
      </c>
      <c r="U10" s="16">
        <v>820960</v>
      </c>
      <c r="V10" s="16">
        <v>1638928</v>
      </c>
      <c r="W10" s="17">
        <v>65.886574999999993</v>
      </c>
      <c r="X10" s="17">
        <v>67.829274999999996</v>
      </c>
      <c r="Y10" s="17">
        <v>32.394371874999898</v>
      </c>
      <c r="Z10" s="17">
        <v>39.164603124999999</v>
      </c>
      <c r="AA10" s="17">
        <v>32.094328124999997</v>
      </c>
      <c r="AB10" s="18">
        <v>466.02199999999999</v>
      </c>
      <c r="AC10" s="18">
        <v>427.16</v>
      </c>
      <c r="AD10" s="18">
        <v>1481.38</v>
      </c>
      <c r="AE10" s="18">
        <v>10.484</v>
      </c>
      <c r="AG10" s="13">
        <f t="shared" si="6"/>
        <v>3.1786724999999998</v>
      </c>
      <c r="AH10" s="14">
        <f t="shared" si="7"/>
        <v>1.5544492452504924E-2</v>
      </c>
      <c r="AI10" s="14">
        <f t="shared" si="8"/>
        <v>8.0285623900857861E-3</v>
      </c>
      <c r="AJ10" s="14">
        <f t="shared" si="9"/>
        <v>4.2647840782054601E-3</v>
      </c>
      <c r="AK10" s="14">
        <f t="shared" si="10"/>
        <v>7.5159300624191381E-3</v>
      </c>
      <c r="AL10" s="11">
        <f t="shared" si="11"/>
        <v>1751200</v>
      </c>
      <c r="AM10" s="14">
        <v>-12</v>
      </c>
      <c r="AN10" s="15"/>
      <c r="AO10" s="15"/>
      <c r="AP10" s="15"/>
      <c r="AQ10" s="16">
        <v>3390584</v>
      </c>
      <c r="AR10" s="16">
        <v>930240</v>
      </c>
      <c r="AS10" s="16">
        <v>820960</v>
      </c>
      <c r="AT10" s="16">
        <v>1639384</v>
      </c>
      <c r="AU10" s="17">
        <v>65.871590624999996</v>
      </c>
      <c r="AV10" s="17">
        <v>67.811971874999998</v>
      </c>
      <c r="AW10" s="17">
        <v>32.396446875000002</v>
      </c>
      <c r="AX10" s="17">
        <v>39.158984375000003</v>
      </c>
      <c r="AY10" s="17">
        <v>32.0977125</v>
      </c>
      <c r="AZ10" s="18">
        <v>212.49100000000001</v>
      </c>
      <c r="BA10" s="18">
        <v>224.315</v>
      </c>
      <c r="BB10" s="18">
        <v>1026.48</v>
      </c>
      <c r="BC10" s="18">
        <v>10.531000000000001</v>
      </c>
      <c r="BE10" s="43">
        <f t="shared" si="12"/>
        <v>0.99870884147036953</v>
      </c>
      <c r="BF10" s="19" t="e">
        <f t="shared" si="13"/>
        <v>#DIV/0!</v>
      </c>
      <c r="BG10" s="19">
        <f t="shared" si="14"/>
        <v>-3.9210902980391094E-4</v>
      </c>
      <c r="BH10" s="19">
        <f t="array" ref="BH10">AVERAGE(AL10:AL14/AQ10:AQ14) - AVERAGE(N10:N14/S10:S14)</f>
        <v>2.6566690819135319E-4</v>
      </c>
      <c r="BJ10" s="43">
        <f>IF( OR(ISBLANK(N10:N14),ISBLANK(AL10:AL14), ISBLANK(W10:W14),ISBLANK(AU10:AU14)), "·", bdRateExtend( N10:N14,W10:W14, AL10:AL14,AU10:AU14))</f>
        <v>5.201782394518295E-3</v>
      </c>
      <c r="BK10" s="43">
        <f>IF( OR(ISBLANK(N10:N14),ISBLANK(AL10:AL14), ISBLANK(X10:X14),ISBLANK(AV10:AV14)), "·", bdRateExtend( N10:N14,X10:X14, AL10:AL14,AV10:AV14))</f>
        <v>8.8858547065735483E-3</v>
      </c>
      <c r="BL10" s="43">
        <f>IF( OR(ISBLANK(V10:V14),ISBLANK(AT10:AT14), ISBLANK(Y10:Y14),ISBLANK(AW10:AW14)), "·", bdRateExtend( V10:V14,Y10:Y14, AT10:AT14,AW10:AW14))</f>
        <v>-9.8113367473084967E-4</v>
      </c>
      <c r="BM10" s="43">
        <f>IF( OR(ISBLANK(V10:V14),ISBLANK(AT10:AT14), ISBLANK(Z10:Z14),ISBLANK(AX10:AX14)), "·", bdRateExtend( V10:V14,Z10:Z14, AT10:AT14,AX10:AX14))</f>
        <v>-1.5423474223222877E-3</v>
      </c>
      <c r="BN10" s="43">
        <f>IF( OR(ISBLANK(V10:V14),ISBLANK(AT10:AT14), ISBLANK(AA10:AA14),ISBLANK(AY10:AY14)), "·", bdRateExtend( V10:V14,AA10:AA14, AT10:AT14,AY10:AY14))</f>
        <v>-6.8482143533887818E-4</v>
      </c>
      <c r="BP10" s="43">
        <f>IF( OR(ISBLANK(S10:S14),ISBLANK(AQ10:AQ14), ISBLANK(W10:W14),ISBLANK(AU10:AU14)), "·", bdRateExtend( S10:S14,W10:W14, AQ10:AQ14,AU10:AU14))</f>
        <v>6.6487904144136856E-3</v>
      </c>
      <c r="BQ10" s="43">
        <f>IF( OR(ISBLANK(S10:S14),ISBLANK(AQ10:AQ14), ISBLANK(X10:X14),ISBLANK(AV10:AV14)), "·", bdRateExtend( S10:S14,X10:X14, AQ10:AQ14,AV10:AV14))</f>
        <v>1.1146169277559181E-2</v>
      </c>
      <c r="BR10" s="43">
        <f>IF( OR(ISBLANK(S10:S14),ISBLANK(AQ10:AQ14), ISBLANK(Y10:Y14),ISBLANK(AW10:AW14)), "·", bdRateExtend( S10:S14,Y10:Y14, AQ10:AQ14,AW10:AW14))</f>
        <v>-3.520941467284322E-4</v>
      </c>
      <c r="BS10" s="43">
        <f>IF( OR(ISBLANK(S10:S14),ISBLANK(AQ10:AQ14), ISBLANK(Z10:Z14),ISBLANK(AX10:AX14)), "·", bdRateExtend( S10:S14,Z10:Z14, AQ10:AQ14,AX10:AX14))</f>
        <v>-7.767614873281925E-4</v>
      </c>
      <c r="BT10" s="43">
        <f>IF( OR(ISBLANK(S10:S14),ISBLANK(AQ10:AQ14), ISBLANK(AA10:AA14),ISBLANK(AY10:AY14)), "·", bdRateExtend( S10:S14,AA10:AA14, AQ10:AQ14,AY10:AY14))</f>
        <v>-2.013100651365729E-4</v>
      </c>
      <c r="BV10" s="51">
        <f t="shared" si="15"/>
        <v>0.54403225598791471</v>
      </c>
      <c r="BW10" s="51">
        <f t="shared" si="15"/>
        <v>0.47486890158254524</v>
      </c>
      <c r="BX10" s="51">
        <f t="shared" si="15"/>
        <v>0.30707853487963932</v>
      </c>
      <c r="BY10" s="51">
        <f t="shared" si="16"/>
        <v>0.50945057878522992</v>
      </c>
      <c r="BZ10" s="55"/>
      <c r="CA10" s="51"/>
      <c r="CC10" s="57"/>
    </row>
    <row r="11" spans="1:84" outlineLevel="1" x14ac:dyDescent="0.15">
      <c r="A11" s="46"/>
      <c r="B11" s="46" t="s">
        <v>20</v>
      </c>
      <c r="C11" s="3" t="s">
        <v>145</v>
      </c>
      <c r="D11" s="46">
        <v>218121242</v>
      </c>
      <c r="E11" s="3">
        <v>10</v>
      </c>
      <c r="F11" s="3">
        <v>32</v>
      </c>
      <c r="G11" s="3">
        <v>30</v>
      </c>
      <c r="I11" s="4">
        <f t="shared" si="0"/>
        <v>4.5974775000000001</v>
      </c>
      <c r="J11" s="5">
        <f t="shared" si="1"/>
        <v>2.2482798809663848E-2</v>
      </c>
      <c r="K11" s="5">
        <f t="shared" si="2"/>
        <v>9.7882442829662596E-3</v>
      </c>
      <c r="L11" s="5">
        <f t="shared" si="3"/>
        <v>6.0244659710859336E-3</v>
      </c>
      <c r="M11" s="5">
        <f t="shared" si="4"/>
        <v>1.2694554526697589E-2</v>
      </c>
      <c r="N11" s="46">
        <f t="shared" si="5"/>
        <v>2135024</v>
      </c>
      <c r="O11" s="5">
        <v>-12</v>
      </c>
      <c r="P11" s="6">
        <v>22133832</v>
      </c>
      <c r="Q11" s="6">
        <v>691682.25</v>
      </c>
      <c r="R11" s="6">
        <v>23047.09375</v>
      </c>
      <c r="S11" s="7">
        <v>4903976</v>
      </c>
      <c r="T11" s="7">
        <v>1314064</v>
      </c>
      <c r="U11" s="7">
        <v>820960</v>
      </c>
      <c r="V11" s="7">
        <v>2768952</v>
      </c>
      <c r="W11" s="8">
        <v>67.609459374999901</v>
      </c>
      <c r="X11" s="8">
        <v>69.693121874999903</v>
      </c>
      <c r="Y11" s="8">
        <v>34.251906249999998</v>
      </c>
      <c r="Z11" s="8">
        <v>40.012206249999899</v>
      </c>
      <c r="AA11" s="8">
        <v>33.863571874999998</v>
      </c>
      <c r="AB11" s="9">
        <v>490.67200000000003</v>
      </c>
      <c r="AC11" s="9">
        <v>439.33600000000001</v>
      </c>
      <c r="AD11" s="9">
        <v>1520.53</v>
      </c>
      <c r="AE11" s="9">
        <v>10.484</v>
      </c>
      <c r="AG11" s="4">
        <f t="shared" si="6"/>
        <v>4.5967200000000004</v>
      </c>
      <c r="AH11" s="5">
        <f t="shared" si="7"/>
        <v>2.2479094447848413E-2</v>
      </c>
      <c r="AI11" s="5">
        <f t="shared" si="8"/>
        <v>9.7800286686429184E-3</v>
      </c>
      <c r="AJ11" s="5">
        <f t="shared" si="9"/>
        <v>6.0162503567625933E-3</v>
      </c>
      <c r="AK11" s="5">
        <f t="shared" si="10"/>
        <v>1.2699065779205494E-2</v>
      </c>
      <c r="AL11" s="46">
        <f t="shared" si="11"/>
        <v>2133232</v>
      </c>
      <c r="AM11" s="5">
        <v>-12</v>
      </c>
      <c r="AN11" s="6"/>
      <c r="AO11" s="6"/>
      <c r="AP11" s="6"/>
      <c r="AQ11" s="7">
        <v>4903168</v>
      </c>
      <c r="AR11" s="7">
        <v>1312272</v>
      </c>
      <c r="AS11" s="7">
        <v>820960</v>
      </c>
      <c r="AT11" s="7">
        <v>2769936</v>
      </c>
      <c r="AU11" s="8">
        <v>67.597303124999996</v>
      </c>
      <c r="AV11" s="8">
        <v>69.667365624999903</v>
      </c>
      <c r="AW11" s="8">
        <v>34.250912499999998</v>
      </c>
      <c r="AX11" s="8">
        <v>40.027068749999998</v>
      </c>
      <c r="AY11" s="8">
        <v>33.865534374999903</v>
      </c>
      <c r="AZ11" s="9">
        <v>239.95099999999999</v>
      </c>
      <c r="BA11" s="9">
        <v>230.578</v>
      </c>
      <c r="BB11" s="9">
        <v>1060.69</v>
      </c>
      <c r="BC11" s="9">
        <v>10.5</v>
      </c>
      <c r="BE11" s="44">
        <f t="shared" si="12"/>
        <v>0.9991606651728504</v>
      </c>
      <c r="BF11" s="10" t="e">
        <f t="shared" si="13"/>
        <v>#DIV/0!</v>
      </c>
      <c r="BG11" s="10">
        <f t="shared" si="14"/>
        <v>-2.9373342712563089E-4</v>
      </c>
      <c r="BH11" s="10"/>
      <c r="BJ11" s="44"/>
      <c r="BK11" s="44"/>
      <c r="BL11" s="44"/>
      <c r="BM11" s="44"/>
      <c r="BN11" s="44"/>
      <c r="BP11" s="44"/>
      <c r="BQ11" s="44"/>
      <c r="BR11" s="44"/>
      <c r="BS11" s="44"/>
      <c r="BT11" s="44"/>
      <c r="BV11" s="51">
        <f t="shared" si="15"/>
        <v>0.51097474483973004</v>
      </c>
      <c r="BW11" s="51">
        <f t="shared" si="15"/>
        <v>0.47516707030609828</v>
      </c>
      <c r="BX11" s="51">
        <f t="shared" si="15"/>
        <v>0.30242086640842331</v>
      </c>
      <c r="BY11" s="51">
        <f t="shared" si="16"/>
        <v>0.49307090757291416</v>
      </c>
      <c r="BZ11" s="55"/>
      <c r="CA11" s="51"/>
      <c r="CC11" s="57"/>
    </row>
    <row r="12" spans="1:84" outlineLevel="1" x14ac:dyDescent="0.15">
      <c r="A12" s="11"/>
      <c r="B12" s="11" t="s">
        <v>20</v>
      </c>
      <c r="C12" s="12" t="s">
        <v>146</v>
      </c>
      <c r="D12" s="11">
        <v>218121242</v>
      </c>
      <c r="E12" s="12">
        <v>10</v>
      </c>
      <c r="F12" s="12">
        <v>32</v>
      </c>
      <c r="G12" s="12">
        <v>30</v>
      </c>
      <c r="I12" s="13">
        <f t="shared" si="0"/>
        <v>7.1139150000000004</v>
      </c>
      <c r="J12" s="14">
        <f t="shared" si="1"/>
        <v>3.4788798791087025E-2</v>
      </c>
      <c r="K12" s="14">
        <f t="shared" si="2"/>
        <v>1.2487220295582215E-2</v>
      </c>
      <c r="L12" s="14">
        <f t="shared" si="3"/>
        <v>8.7234419837018892E-3</v>
      </c>
      <c r="M12" s="14">
        <f t="shared" si="4"/>
        <v>2.2301578495504806E-2</v>
      </c>
      <c r="N12" s="11">
        <f t="shared" si="5"/>
        <v>2723728</v>
      </c>
      <c r="O12" s="14">
        <v>-12</v>
      </c>
      <c r="P12" s="15">
        <v>22504730</v>
      </c>
      <c r="Q12" s="15">
        <v>703272.8125</v>
      </c>
      <c r="R12" s="15">
        <v>24737.1875</v>
      </c>
      <c r="S12" s="16">
        <v>7588176</v>
      </c>
      <c r="T12" s="16">
        <v>1902768</v>
      </c>
      <c r="U12" s="16">
        <v>820960</v>
      </c>
      <c r="V12" s="16">
        <v>4864448</v>
      </c>
      <c r="W12" s="17">
        <v>68.953246874999905</v>
      </c>
      <c r="X12" s="17">
        <v>71.331493749999893</v>
      </c>
      <c r="Y12" s="17">
        <v>36.335381249999998</v>
      </c>
      <c r="Z12" s="17">
        <v>40.939156249999897</v>
      </c>
      <c r="AA12" s="17">
        <v>35.640265624999898</v>
      </c>
      <c r="AB12" s="18">
        <v>517.66099999999994</v>
      </c>
      <c r="AC12" s="18">
        <v>451.67700000000002</v>
      </c>
      <c r="AD12" s="18">
        <v>1558.5</v>
      </c>
      <c r="AE12" s="18">
        <v>10.39</v>
      </c>
      <c r="AG12" s="13">
        <f t="shared" si="6"/>
        <v>7.1170650000000002</v>
      </c>
      <c r="AH12" s="14">
        <f t="shared" si="7"/>
        <v>3.4804203067943289E-2</v>
      </c>
      <c r="AI12" s="14">
        <f t="shared" si="8"/>
        <v>1.2503578170529581E-2</v>
      </c>
      <c r="AJ12" s="14">
        <f t="shared" si="9"/>
        <v>8.7397998586492553E-3</v>
      </c>
      <c r="AK12" s="14">
        <f t="shared" si="10"/>
        <v>2.2300624897413704E-2</v>
      </c>
      <c r="AL12" s="11">
        <f t="shared" si="11"/>
        <v>2727296</v>
      </c>
      <c r="AM12" s="14">
        <v>-12</v>
      </c>
      <c r="AN12" s="15"/>
      <c r="AO12" s="15"/>
      <c r="AP12" s="15"/>
      <c r="AQ12" s="16">
        <v>7591536</v>
      </c>
      <c r="AR12" s="16">
        <v>1906336</v>
      </c>
      <c r="AS12" s="16">
        <v>820960</v>
      </c>
      <c r="AT12" s="16">
        <v>4864240</v>
      </c>
      <c r="AU12" s="17">
        <v>68.945262499999998</v>
      </c>
      <c r="AV12" s="17">
        <v>71.293253125000007</v>
      </c>
      <c r="AW12" s="17">
        <v>36.351493750000003</v>
      </c>
      <c r="AX12" s="17">
        <v>40.924981250000002</v>
      </c>
      <c r="AY12" s="17">
        <v>35.6379375</v>
      </c>
      <c r="AZ12" s="18">
        <v>260.18700000000001</v>
      </c>
      <c r="BA12" s="18">
        <v>245.47</v>
      </c>
      <c r="BB12" s="18">
        <v>1095.8399999999999</v>
      </c>
      <c r="BC12" s="18">
        <v>10.218</v>
      </c>
      <c r="BE12" s="43">
        <f t="shared" si="12"/>
        <v>1.0013099692774021</v>
      </c>
      <c r="BF12" s="19" t="e">
        <f t="shared" si="13"/>
        <v>#DIV/0!</v>
      </c>
      <c r="BG12" s="19">
        <f t="shared" si="14"/>
        <v>3.1112928326748612E-4</v>
      </c>
      <c r="BH12" s="19"/>
      <c r="BJ12" s="43"/>
      <c r="BK12" s="43"/>
      <c r="BL12" s="43"/>
      <c r="BM12" s="43"/>
      <c r="BN12" s="43"/>
      <c r="BP12" s="43"/>
      <c r="BQ12" s="43"/>
      <c r="BR12" s="43"/>
      <c r="BS12" s="43"/>
      <c r="BT12" s="43"/>
      <c r="BV12" s="51">
        <f t="shared" si="15"/>
        <v>0.49737955920959848</v>
      </c>
      <c r="BW12" s="51">
        <f t="shared" si="15"/>
        <v>0.45653641872399969</v>
      </c>
      <c r="BX12" s="51">
        <f t="shared" si="15"/>
        <v>0.29686236766121277</v>
      </c>
      <c r="BY12" s="51">
        <f t="shared" si="16"/>
        <v>0.47695798896679908</v>
      </c>
      <c r="BZ12" s="55"/>
      <c r="CA12" s="51"/>
      <c r="CC12" s="57"/>
    </row>
    <row r="13" spans="1:84" outlineLevel="1" x14ac:dyDescent="0.15">
      <c r="A13" s="46"/>
      <c r="B13" s="46" t="s">
        <v>20</v>
      </c>
      <c r="C13" s="3" t="s">
        <v>147</v>
      </c>
      <c r="D13" s="46">
        <v>218121242</v>
      </c>
      <c r="E13" s="3">
        <v>10</v>
      </c>
      <c r="F13" s="3">
        <v>32</v>
      </c>
      <c r="G13" s="3">
        <v>30</v>
      </c>
      <c r="I13" s="4">
        <f t="shared" si="0"/>
        <v>12.0106275</v>
      </c>
      <c r="J13" s="5">
        <f t="shared" si="1"/>
        <v>5.8734930548396569E-2</v>
      </c>
      <c r="K13" s="5">
        <f t="shared" si="2"/>
        <v>1.7163445273248534E-2</v>
      </c>
      <c r="L13" s="5">
        <f t="shared" si="3"/>
        <v>1.339966696136821E-2</v>
      </c>
      <c r="M13" s="5">
        <f t="shared" si="4"/>
        <v>4.1571485275148028E-2</v>
      </c>
      <c r="N13" s="46">
        <f t="shared" si="5"/>
        <v>3743712</v>
      </c>
      <c r="O13" s="5">
        <v>-12</v>
      </c>
      <c r="P13" s="6">
        <v>23275134</v>
      </c>
      <c r="Q13" s="6">
        <v>727347.9375</v>
      </c>
      <c r="R13" s="6">
        <v>27993.34375</v>
      </c>
      <c r="S13" s="7">
        <v>12811336</v>
      </c>
      <c r="T13" s="7">
        <v>2922752</v>
      </c>
      <c r="U13" s="7">
        <v>820960</v>
      </c>
      <c r="V13" s="7">
        <v>9067624</v>
      </c>
      <c r="W13" s="8">
        <v>70.078087499999896</v>
      </c>
      <c r="X13" s="8">
        <v>72.601274999999902</v>
      </c>
      <c r="Y13" s="8">
        <v>38.662809375000002</v>
      </c>
      <c r="Z13" s="8">
        <v>42.1082156249999</v>
      </c>
      <c r="AA13" s="8">
        <v>37.696206249999904</v>
      </c>
      <c r="AB13" s="9">
        <v>557.47799999999995</v>
      </c>
      <c r="AC13" s="9">
        <v>480.03199999999998</v>
      </c>
      <c r="AD13" s="9">
        <v>1627</v>
      </c>
      <c r="AE13" s="9">
        <v>10.25</v>
      </c>
      <c r="AG13" s="4">
        <f t="shared" si="6"/>
        <v>12.013769999999999</v>
      </c>
      <c r="AH13" s="5">
        <f t="shared" si="7"/>
        <v>5.8750298148403171E-2</v>
      </c>
      <c r="AI13" s="5">
        <f t="shared" si="8"/>
        <v>1.7227446375901345E-2</v>
      </c>
      <c r="AJ13" s="5">
        <f t="shared" si="9"/>
        <v>1.3463668064021017E-2</v>
      </c>
      <c r="AK13" s="5">
        <f t="shared" si="10"/>
        <v>4.1522851772501826E-2</v>
      </c>
      <c r="AL13" s="46">
        <f t="shared" si="11"/>
        <v>3757672</v>
      </c>
      <c r="AM13" s="5">
        <v>-12</v>
      </c>
      <c r="AN13" s="6"/>
      <c r="AO13" s="6"/>
      <c r="AP13" s="6"/>
      <c r="AQ13" s="7">
        <v>12814688</v>
      </c>
      <c r="AR13" s="7">
        <v>2936712</v>
      </c>
      <c r="AS13" s="7">
        <v>820960</v>
      </c>
      <c r="AT13" s="7">
        <v>9057016</v>
      </c>
      <c r="AU13" s="8">
        <v>70.045199999999994</v>
      </c>
      <c r="AV13" s="8">
        <v>72.551096874999999</v>
      </c>
      <c r="AW13" s="8">
        <v>38.659624999999998</v>
      </c>
      <c r="AX13" s="8">
        <v>42.112909375000001</v>
      </c>
      <c r="AY13" s="8">
        <v>37.698503125000002</v>
      </c>
      <c r="AZ13" s="9">
        <v>293.35500000000002</v>
      </c>
      <c r="BA13" s="9">
        <v>274.84300000000002</v>
      </c>
      <c r="BB13" s="9">
        <v>1159.3900000000001</v>
      </c>
      <c r="BC13" s="9">
        <v>10.327999999999999</v>
      </c>
      <c r="BE13" s="44">
        <f t="shared" si="12"/>
        <v>1.0037289193185803</v>
      </c>
      <c r="BF13" s="10" t="e">
        <f t="shared" si="13"/>
        <v>#DIV/0!</v>
      </c>
      <c r="BG13" s="10">
        <f t="shared" si="14"/>
        <v>1.0129378807214873E-3</v>
      </c>
      <c r="BH13" s="10"/>
      <c r="BJ13" s="44"/>
      <c r="BK13" s="44"/>
      <c r="BL13" s="44"/>
      <c r="BM13" s="44"/>
      <c r="BN13" s="44"/>
      <c r="BP13" s="44"/>
      <c r="BQ13" s="44"/>
      <c r="BR13" s="44"/>
      <c r="BS13" s="44"/>
      <c r="BT13" s="44"/>
      <c r="BV13" s="51">
        <f t="shared" si="15"/>
        <v>0.47378192502663774</v>
      </c>
      <c r="BW13" s="51">
        <f t="shared" si="15"/>
        <v>0.42744858676088254</v>
      </c>
      <c r="BX13" s="51">
        <f t="shared" si="15"/>
        <v>0.28740626920712964</v>
      </c>
      <c r="BY13" s="51">
        <f t="shared" si="16"/>
        <v>0.45061525589376017</v>
      </c>
      <c r="BZ13" s="55"/>
      <c r="CA13" s="51"/>
      <c r="CC13" s="57"/>
    </row>
    <row r="14" spans="1:84" ht="14.25" outlineLevel="1" thickBot="1" x14ac:dyDescent="0.2">
      <c r="A14" s="11"/>
      <c r="B14" s="30" t="s">
        <v>20</v>
      </c>
      <c r="C14" s="31" t="s">
        <v>148</v>
      </c>
      <c r="D14" s="30">
        <v>218121242</v>
      </c>
      <c r="E14" s="31">
        <v>10</v>
      </c>
      <c r="F14" s="31">
        <v>32</v>
      </c>
      <c r="G14" s="31">
        <v>30</v>
      </c>
      <c r="I14" s="32">
        <f t="shared" si="0"/>
        <v>21.562027499999999</v>
      </c>
      <c r="J14" s="33">
        <f t="shared" si="1"/>
        <v>0.10544363212455943</v>
      </c>
      <c r="K14" s="33">
        <f t="shared" si="2"/>
        <v>2.8264354005466372E-2</v>
      </c>
      <c r="L14" s="33">
        <f t="shared" si="3"/>
        <v>2.1175159088815385E-2</v>
      </c>
      <c r="M14" s="33">
        <f t="shared" si="4"/>
        <v>7.7179278119093045E-2</v>
      </c>
      <c r="N14" s="30">
        <f t="shared" si="5"/>
        <v>6165056</v>
      </c>
      <c r="O14" s="33">
        <v>-12</v>
      </c>
      <c r="P14" s="34">
        <v>22108568</v>
      </c>
      <c r="Q14" s="34">
        <v>690892.75</v>
      </c>
      <c r="R14" s="34">
        <v>13255.34375</v>
      </c>
      <c r="S14" s="35">
        <v>22999496</v>
      </c>
      <c r="T14" s="35">
        <v>4618752</v>
      </c>
      <c r="U14" s="35">
        <v>1546304</v>
      </c>
      <c r="V14" s="35">
        <v>16834440</v>
      </c>
      <c r="W14" s="36">
        <v>70.921371874999906</v>
      </c>
      <c r="X14" s="36">
        <v>74.713256250000001</v>
      </c>
      <c r="Y14" s="36">
        <v>40.916131249999999</v>
      </c>
      <c r="Z14" s="36">
        <v>43.428543749999903</v>
      </c>
      <c r="AA14" s="36">
        <v>39.494587500000002</v>
      </c>
      <c r="AB14" s="37">
        <v>598.178</v>
      </c>
      <c r="AC14" s="37">
        <v>538.14099999999996</v>
      </c>
      <c r="AD14" s="37">
        <v>1743.52</v>
      </c>
      <c r="AE14" s="37">
        <v>10.375</v>
      </c>
      <c r="AG14" s="32">
        <f t="shared" si="6"/>
        <v>21.5942325</v>
      </c>
      <c r="AH14" s="33">
        <f t="shared" si="7"/>
        <v>0.10560112251698989</v>
      </c>
      <c r="AI14" s="33">
        <f t="shared" si="8"/>
        <v>2.8379445959692454E-2</v>
      </c>
      <c r="AJ14" s="33">
        <f t="shared" si="9"/>
        <v>2.1290251043041466E-2</v>
      </c>
      <c r="AK14" s="33">
        <f t="shared" si="10"/>
        <v>7.7221676557297433E-2</v>
      </c>
      <c r="AL14" s="30">
        <f t="shared" si="11"/>
        <v>6190160</v>
      </c>
      <c r="AM14" s="33">
        <v>-12</v>
      </c>
      <c r="AN14" s="34"/>
      <c r="AO14" s="34"/>
      <c r="AP14" s="34"/>
      <c r="AQ14" s="35">
        <v>23033848</v>
      </c>
      <c r="AR14" s="35">
        <v>4643856</v>
      </c>
      <c r="AS14" s="35">
        <v>1546304</v>
      </c>
      <c r="AT14" s="35">
        <v>16843688</v>
      </c>
      <c r="AU14" s="36">
        <v>70.917168750000002</v>
      </c>
      <c r="AV14" s="36">
        <v>74.672290625000002</v>
      </c>
      <c r="AW14" s="36">
        <v>40.916800000000002</v>
      </c>
      <c r="AX14" s="36">
        <v>43.435450000000003</v>
      </c>
      <c r="AY14" s="36">
        <v>39.500549999999997</v>
      </c>
      <c r="AZ14" s="37">
        <v>332.935</v>
      </c>
      <c r="BA14" s="37">
        <v>330.31700000000001</v>
      </c>
      <c r="BB14" s="37">
        <v>1270.28</v>
      </c>
      <c r="BC14" s="37">
        <v>10.420999999999999</v>
      </c>
      <c r="BE14" s="38">
        <f t="shared" si="12"/>
        <v>1.0040719824767204</v>
      </c>
      <c r="BF14" s="39" t="e">
        <f t="shared" si="13"/>
        <v>#DIV/0!</v>
      </c>
      <c r="BG14" s="39">
        <f t="shared" si="14"/>
        <v>6.9010983389777847E-4</v>
      </c>
      <c r="BH14" s="39"/>
      <c r="BJ14" s="38"/>
      <c r="BK14" s="38"/>
      <c r="BL14" s="38"/>
      <c r="BM14" s="38"/>
      <c r="BN14" s="38"/>
      <c r="BP14" s="38"/>
      <c r="BQ14" s="38"/>
      <c r="BR14" s="38"/>
      <c r="BS14" s="38"/>
      <c r="BT14" s="38"/>
      <c r="BV14" s="51">
        <f t="shared" si="15"/>
        <v>0.44341817987288062</v>
      </c>
      <c r="BW14" s="51">
        <f t="shared" si="15"/>
        <v>0.38618874978862411</v>
      </c>
      <c r="BX14" s="51">
        <f t="shared" si="15"/>
        <v>0.27142791594016702</v>
      </c>
      <c r="BY14" s="51">
        <f t="shared" si="16"/>
        <v>0.41480346483075237</v>
      </c>
      <c r="BZ14" s="55">
        <f t="shared" ref="BZ14:CA14" si="18">AVERAGE(BV10:BV14)</f>
        <v>0.49391733298735224</v>
      </c>
      <c r="CA14" s="51">
        <f t="shared" si="18"/>
        <v>0.44404194543243003</v>
      </c>
      <c r="CB14" s="51">
        <f>AVERAGE(BX10:BX14)</f>
        <v>0.2930391908193144</v>
      </c>
      <c r="CC14" s="58">
        <f>AVERAGE(BY10:BY14)</f>
        <v>0.46897963920989116</v>
      </c>
      <c r="CD14" s="51">
        <f t="shared" ref="CD14:CE14" si="19">(SUM(AB10:AB14)-SUM(AZ10:AZ14))/SUM(AB10:AB14)</f>
        <v>0.49090745247833562</v>
      </c>
      <c r="CE14" s="51">
        <f t="shared" si="19"/>
        <v>0.44121161848459084</v>
      </c>
      <c r="CF14" s="51">
        <f t="shared" ref="CF14" si="20">(SUM(AB10:AC14)-SUM(AZ10:BA14))/SUM(AB10:AC14)</f>
        <v>0.46752881438044025</v>
      </c>
    </row>
    <row r="15" spans="1:84" x14ac:dyDescent="0.15">
      <c r="A15" s="46"/>
      <c r="B15" s="46" t="s">
        <v>23</v>
      </c>
      <c r="C15" s="3" t="s">
        <v>144</v>
      </c>
      <c r="D15" s="46">
        <v>322589704</v>
      </c>
      <c r="E15" s="3">
        <v>10</v>
      </c>
      <c r="F15" s="3">
        <v>32</v>
      </c>
      <c r="G15" s="3">
        <v>30</v>
      </c>
      <c r="I15" s="4">
        <f t="shared" si="0"/>
        <v>4.4048550000000004</v>
      </c>
      <c r="J15" s="5">
        <f t="shared" si="1"/>
        <v>1.4564978180456744E-2</v>
      </c>
      <c r="K15" s="5">
        <f t="shared" si="2"/>
        <v>8.2289049126006829E-3</v>
      </c>
      <c r="L15" s="5">
        <f t="shared" si="3"/>
        <v>4.3908902932624288E-3</v>
      </c>
      <c r="M15" s="5">
        <f t="shared" si="4"/>
        <v>6.3360732678560631E-3</v>
      </c>
      <c r="N15" s="46">
        <f t="shared" si="5"/>
        <v>2654560</v>
      </c>
      <c r="O15" s="5">
        <v>-12</v>
      </c>
      <c r="P15" s="6">
        <v>30898742</v>
      </c>
      <c r="Q15" s="6">
        <v>965585.6875</v>
      </c>
      <c r="R15" s="6">
        <v>27935.75</v>
      </c>
      <c r="S15" s="7">
        <v>4698512</v>
      </c>
      <c r="T15" s="7">
        <v>1416456</v>
      </c>
      <c r="U15" s="7">
        <v>1238104</v>
      </c>
      <c r="V15" s="7">
        <v>2043952</v>
      </c>
      <c r="W15" s="8">
        <v>65.895415624999998</v>
      </c>
      <c r="X15" s="8">
        <v>67.664484375000001</v>
      </c>
      <c r="Y15" s="8">
        <v>29.421203125000002</v>
      </c>
      <c r="Z15" s="8">
        <v>43.104725000000002</v>
      </c>
      <c r="AA15" s="8">
        <v>43.299262499999998</v>
      </c>
      <c r="AB15" s="9">
        <v>475.726</v>
      </c>
      <c r="AC15" s="9">
        <v>417.60199999999998</v>
      </c>
      <c r="AD15" s="9">
        <v>1775.77</v>
      </c>
      <c r="AE15" s="9">
        <v>10.093</v>
      </c>
      <c r="AG15" s="4">
        <f t="shared" si="6"/>
        <v>4.4038874999999997</v>
      </c>
      <c r="AH15" s="5">
        <f t="shared" si="7"/>
        <v>1.4561779070295437E-2</v>
      </c>
      <c r="AI15" s="5">
        <f t="shared" si="8"/>
        <v>8.2249618233320929E-3</v>
      </c>
      <c r="AJ15" s="5">
        <f t="shared" si="9"/>
        <v>4.3869472039938387E-3</v>
      </c>
      <c r="AK15" s="5">
        <f t="shared" si="10"/>
        <v>6.3368172469633437E-3</v>
      </c>
      <c r="AL15" s="46">
        <f t="shared" si="11"/>
        <v>2653288</v>
      </c>
      <c r="AM15" s="5">
        <v>-12</v>
      </c>
      <c r="AN15" s="6"/>
      <c r="AO15" s="6"/>
      <c r="AP15" s="6"/>
      <c r="AQ15" s="7">
        <v>4697480</v>
      </c>
      <c r="AR15" s="7">
        <v>1415184</v>
      </c>
      <c r="AS15" s="7">
        <v>1238104</v>
      </c>
      <c r="AT15" s="7">
        <v>2044192</v>
      </c>
      <c r="AU15" s="8">
        <v>65.905196875000001</v>
      </c>
      <c r="AV15" s="8">
        <v>67.658128124999905</v>
      </c>
      <c r="AW15" s="8">
        <v>29.4176593749999</v>
      </c>
      <c r="AX15" s="8">
        <v>43.155821875000001</v>
      </c>
      <c r="AY15" s="8">
        <v>43.315993749999897</v>
      </c>
      <c r="AZ15" s="9">
        <v>290.71699999999998</v>
      </c>
      <c r="BA15" s="9">
        <v>301.32600000000002</v>
      </c>
      <c r="BB15" s="9">
        <v>1461.08</v>
      </c>
      <c r="BC15" s="9">
        <v>9.984</v>
      </c>
      <c r="BE15" s="44">
        <f t="shared" si="12"/>
        <v>0.99952082454342717</v>
      </c>
      <c r="BF15" s="10" t="e">
        <f t="shared" si="13"/>
        <v>#DIV/0!</v>
      </c>
      <c r="BG15" s="10">
        <f t="shared" si="14"/>
        <v>-1.4666199882851227E-4</v>
      </c>
      <c r="BH15" s="10">
        <f t="array" ref="BH15">AVERAGE(AL15:AL19/AQ15:AQ19) - AVERAGE(N15:N19/S15:S19)</f>
        <v>2.4454900774006916E-4</v>
      </c>
      <c r="BJ15" s="44">
        <f>IF( OR(ISBLANK(N15:N19),ISBLANK(AL15:AL19), ISBLANK(W15:W19),ISBLANK(AU15:AU19)), "·", bdRateExtend( N15:N19,W15:W19, AL15:AL19,AU15:AU19))</f>
        <v>4.918305160573011E-3</v>
      </c>
      <c r="BK15" s="44">
        <f>IF( OR(ISBLANK(N15:N19),ISBLANK(AL15:AL19), ISBLANK(X15:X19),ISBLANK(AV15:AV19)), "·", bdRateExtend( N15:N19,X15:X19, AL15:AL19,AV15:AV19))</f>
        <v>9.4360969188072019E-3</v>
      </c>
      <c r="BL15" s="44">
        <f>IF( OR(ISBLANK(V15:V19),ISBLANK(AT15:AT19), ISBLANK(Y15:Y19),ISBLANK(AW15:AW19)), "·", bdRateExtend( V15:V19,Y15:Y19, AT15:AT19,AW15:AW19))</f>
        <v>-5.2175542441657008E-4</v>
      </c>
      <c r="BM15" s="44">
        <f>IF( OR(ISBLANK(V15:V19),ISBLANK(AT15:AT19), ISBLANK(Z15:Z19),ISBLANK(AX15:AX19)), "·", bdRateExtend( V15:V19,Z15:Z19, AT15:AT19,AX15:AX19))</f>
        <v>-7.2154250563337685E-3</v>
      </c>
      <c r="BN15" s="44">
        <f>IF( OR(ISBLANK(V15:V19),ISBLANK(AT15:AT19), ISBLANK(AA15:AA19),ISBLANK(AY15:AY19)), "·", bdRateExtend( V15:V19,AA15:AA19, AT15:AT19,AY15:AY19))</f>
        <v>-1.1405877934865583E-2</v>
      </c>
      <c r="BP15" s="44">
        <f>IF( OR(ISBLANK(S15:S19),ISBLANK(AQ15:AQ19), ISBLANK(W15:W19),ISBLANK(AU15:AU19)), "·", bdRateExtend( S15:S19,W15:W19, AQ15:AQ19,AU15:AU19))</f>
        <v>6.530184435100006E-3</v>
      </c>
      <c r="BQ15" s="44">
        <f>IF( OR(ISBLANK(S15:S19),ISBLANK(AQ15:AQ19), ISBLANK(X15:X19),ISBLANK(AV15:AV19)), "·", bdRateExtend( S15:S19,X15:X19, AQ15:AQ19,AV15:AV19))</f>
        <v>1.3402316950048343E-2</v>
      </c>
      <c r="BR15" s="44">
        <f>IF( OR(ISBLANK(S15:S19),ISBLANK(AQ15:AQ19), ISBLANK(Y15:Y19),ISBLANK(AW15:AW19)), "·", bdRateExtend( S15:S19,Y15:Y19, AQ15:AQ19,AW15:AW19))</f>
        <v>-5.2729462925560355E-5</v>
      </c>
      <c r="BS15" s="44">
        <f>IF( OR(ISBLANK(S15:S19),ISBLANK(AQ15:AQ19), ISBLANK(Z15:Z19),ISBLANK(AX15:AX19)), "·", bdRateExtend( S15:S19,Z15:Z19, AQ15:AQ19,AX15:AX19))</f>
        <v>-4.3495706829891345E-3</v>
      </c>
      <c r="BT15" s="44">
        <f>IF( OR(ISBLANK(S15:S19),ISBLANK(AQ15:AQ19), ISBLANK(AA15:AA19),ISBLANK(AY15:AY19)), "·", bdRateExtend( S15:S19,AA15:AA19, AQ15:AQ19,AY15:AY19))</f>
        <v>-7.7514140042084234E-3</v>
      </c>
      <c r="BV15" s="51">
        <f>(AB15-AZ15)/AB15</f>
        <v>0.38889823133484402</v>
      </c>
      <c r="BW15" s="51">
        <f t="shared" si="15"/>
        <v>0.27843736380572881</v>
      </c>
      <c r="BX15" s="51">
        <f t="shared" si="15"/>
        <v>0.17721326523142078</v>
      </c>
      <c r="BY15" s="51">
        <f t="shared" si="16"/>
        <v>0.33366779757028642</v>
      </c>
      <c r="BZ15" s="55"/>
      <c r="CA15" s="51"/>
      <c r="CC15" s="57"/>
    </row>
    <row r="16" spans="1:84" outlineLevel="1" x14ac:dyDescent="0.15">
      <c r="A16" s="11"/>
      <c r="B16" s="11" t="s">
        <v>23</v>
      </c>
      <c r="C16" s="12" t="s">
        <v>145</v>
      </c>
      <c r="D16" s="11">
        <v>322589704</v>
      </c>
      <c r="E16" s="12">
        <v>10</v>
      </c>
      <c r="F16" s="12">
        <v>32</v>
      </c>
      <c r="G16" s="12">
        <v>30</v>
      </c>
      <c r="I16" s="13">
        <f t="shared" si="0"/>
        <v>7.0023150000000003</v>
      </c>
      <c r="J16" s="14">
        <f t="shared" si="1"/>
        <v>2.3153671389338576E-2</v>
      </c>
      <c r="K16" s="14">
        <f t="shared" si="2"/>
        <v>1.0043048367098536E-2</v>
      </c>
      <c r="L16" s="14">
        <f t="shared" si="3"/>
        <v>6.2050337477602821E-3</v>
      </c>
      <c r="M16" s="14">
        <f t="shared" si="4"/>
        <v>1.311062302224004E-2</v>
      </c>
      <c r="N16" s="11">
        <f t="shared" si="5"/>
        <v>3239784</v>
      </c>
      <c r="O16" s="14">
        <v>-12</v>
      </c>
      <c r="P16" s="15">
        <v>33174723</v>
      </c>
      <c r="Q16" s="15">
        <v>1036710.09375</v>
      </c>
      <c r="R16" s="15">
        <v>34658.125</v>
      </c>
      <c r="S16" s="16">
        <v>7469136</v>
      </c>
      <c r="T16" s="16">
        <v>2001680</v>
      </c>
      <c r="U16" s="16">
        <v>1238104</v>
      </c>
      <c r="V16" s="16">
        <v>4229352</v>
      </c>
      <c r="W16" s="17">
        <v>67.721312499999996</v>
      </c>
      <c r="X16" s="17">
        <v>69.756862499999997</v>
      </c>
      <c r="Y16" s="17">
        <v>31.811240625</v>
      </c>
      <c r="Z16" s="17">
        <v>43.961996874999997</v>
      </c>
      <c r="AA16" s="17">
        <v>44.231640624999997</v>
      </c>
      <c r="AB16" s="18">
        <v>520.83500000000004</v>
      </c>
      <c r="AC16" s="18">
        <v>431.221</v>
      </c>
      <c r="AD16" s="18">
        <v>1836.77</v>
      </c>
      <c r="AE16" s="18">
        <v>9.843</v>
      </c>
      <c r="AG16" s="13">
        <f t="shared" si="6"/>
        <v>7.0015349999999996</v>
      </c>
      <c r="AH16" s="14">
        <f t="shared" si="7"/>
        <v>2.3151092261766669E-2</v>
      </c>
      <c r="AI16" s="14">
        <f t="shared" si="8"/>
        <v>1.0034368610846923E-2</v>
      </c>
      <c r="AJ16" s="14">
        <f t="shared" si="9"/>
        <v>6.1963539915086685E-3</v>
      </c>
      <c r="AK16" s="14">
        <f t="shared" si="10"/>
        <v>1.3116723650919745E-2</v>
      </c>
      <c r="AL16" s="11">
        <f t="shared" si="11"/>
        <v>3236984</v>
      </c>
      <c r="AM16" s="14">
        <v>-12</v>
      </c>
      <c r="AN16" s="15"/>
      <c r="AO16" s="15"/>
      <c r="AP16" s="15"/>
      <c r="AQ16" s="16">
        <v>7468304</v>
      </c>
      <c r="AR16" s="16">
        <v>1998880</v>
      </c>
      <c r="AS16" s="16">
        <v>1238104</v>
      </c>
      <c r="AT16" s="16">
        <v>4231320</v>
      </c>
      <c r="AU16" s="17">
        <v>67.701049999999995</v>
      </c>
      <c r="AV16" s="17">
        <v>69.713290624999999</v>
      </c>
      <c r="AW16" s="17">
        <v>31.811871874999898</v>
      </c>
      <c r="AX16" s="17">
        <v>43.973884374999997</v>
      </c>
      <c r="AY16" s="17">
        <v>44.277840625000003</v>
      </c>
      <c r="AZ16" s="18">
        <v>328.58100000000002</v>
      </c>
      <c r="BA16" s="18">
        <v>311.15300000000002</v>
      </c>
      <c r="BB16" s="18">
        <v>1510.52</v>
      </c>
      <c r="BC16" s="18">
        <v>9.7650000000000006</v>
      </c>
      <c r="BE16" s="43">
        <f t="shared" si="12"/>
        <v>0.99913574485212597</v>
      </c>
      <c r="BF16" s="19" t="e">
        <f t="shared" si="13"/>
        <v>#DIV/0!</v>
      </c>
      <c r="BG16" s="19">
        <f t="shared" si="14"/>
        <v>-3.2659554927305656E-4</v>
      </c>
      <c r="BH16" s="19"/>
      <c r="BJ16" s="43"/>
      <c r="BK16" s="43"/>
      <c r="BL16" s="43"/>
      <c r="BM16" s="43"/>
      <c r="BN16" s="43"/>
      <c r="BP16" s="43"/>
      <c r="BQ16" s="43"/>
      <c r="BR16" s="43"/>
      <c r="BS16" s="43"/>
      <c r="BT16" s="43"/>
      <c r="BV16" s="51">
        <f t="shared" ref="BV16:BX29" si="21">(AB16-AZ16)/AB16</f>
        <v>0.36912649879520387</v>
      </c>
      <c r="BW16" s="51">
        <f t="shared" si="15"/>
        <v>0.27843727462252532</v>
      </c>
      <c r="BX16" s="51">
        <f t="shared" si="15"/>
        <v>0.17762158571840786</v>
      </c>
      <c r="BY16" s="51">
        <f t="shared" si="16"/>
        <v>0.3237818867088646</v>
      </c>
      <c r="BZ16" s="55"/>
      <c r="CA16" s="51"/>
      <c r="CC16" s="57"/>
    </row>
    <row r="17" spans="1:84" outlineLevel="1" x14ac:dyDescent="0.15">
      <c r="A17" s="46"/>
      <c r="B17" s="46" t="s">
        <v>23</v>
      </c>
      <c r="C17" s="3" t="s">
        <v>146</v>
      </c>
      <c r="D17" s="46">
        <v>322589704</v>
      </c>
      <c r="E17" s="3">
        <v>10</v>
      </c>
      <c r="F17" s="3">
        <v>32</v>
      </c>
      <c r="G17" s="3">
        <v>30</v>
      </c>
      <c r="I17" s="4">
        <f t="shared" si="0"/>
        <v>11.682667500000001</v>
      </c>
      <c r="J17" s="5">
        <f t="shared" si="1"/>
        <v>3.8629602388053901E-2</v>
      </c>
      <c r="K17" s="5">
        <f t="shared" si="2"/>
        <v>1.2780990679107353E-2</v>
      </c>
      <c r="L17" s="5">
        <f t="shared" si="3"/>
        <v>8.9429760597690994E-3</v>
      </c>
      <c r="M17" s="5">
        <f t="shared" si="4"/>
        <v>2.5848611708946544E-2</v>
      </c>
      <c r="N17" s="46">
        <f t="shared" si="5"/>
        <v>4123016</v>
      </c>
      <c r="O17" s="5">
        <v>-12</v>
      </c>
      <c r="P17" s="6">
        <v>33536779</v>
      </c>
      <c r="Q17" s="6">
        <v>1048024.34375</v>
      </c>
      <c r="R17" s="6">
        <v>36443.15625</v>
      </c>
      <c r="S17" s="7">
        <v>12461512</v>
      </c>
      <c r="T17" s="7">
        <v>2884912</v>
      </c>
      <c r="U17" s="7">
        <v>1238104</v>
      </c>
      <c r="V17" s="7">
        <v>8338496</v>
      </c>
      <c r="W17" s="8">
        <v>69.122003125000006</v>
      </c>
      <c r="X17" s="8">
        <v>71.601190624999902</v>
      </c>
      <c r="Y17" s="8">
        <v>34.352246874999999</v>
      </c>
      <c r="Z17" s="8">
        <v>44.816187499999998</v>
      </c>
      <c r="AA17" s="8">
        <v>45.212228124999903</v>
      </c>
      <c r="AB17" s="9">
        <v>560.51199999999994</v>
      </c>
      <c r="AC17" s="9">
        <v>465.22800000000001</v>
      </c>
      <c r="AD17" s="9">
        <v>1911.09</v>
      </c>
      <c r="AE17" s="9">
        <v>9.75</v>
      </c>
      <c r="AG17" s="4">
        <f t="shared" si="6"/>
        <v>11.698515</v>
      </c>
      <c r="AH17" s="5">
        <f t="shared" si="7"/>
        <v>3.8682003316510068E-2</v>
      </c>
      <c r="AI17" s="5">
        <f t="shared" si="8"/>
        <v>1.2803086858593602E-2</v>
      </c>
      <c r="AJ17" s="5">
        <f t="shared" si="9"/>
        <v>8.9650722392553492E-3</v>
      </c>
      <c r="AK17" s="5">
        <f t="shared" si="10"/>
        <v>2.5878916457916464E-2</v>
      </c>
      <c r="AL17" s="46">
        <f t="shared" si="11"/>
        <v>4130144</v>
      </c>
      <c r="AM17" s="5">
        <v>-12</v>
      </c>
      <c r="AN17" s="6"/>
      <c r="AO17" s="6"/>
      <c r="AP17" s="6"/>
      <c r="AQ17" s="7">
        <v>12478416</v>
      </c>
      <c r="AR17" s="7">
        <v>2892040</v>
      </c>
      <c r="AS17" s="7">
        <v>1238104</v>
      </c>
      <c r="AT17" s="7">
        <v>8348272</v>
      </c>
      <c r="AU17" s="8">
        <v>69.124049999999997</v>
      </c>
      <c r="AV17" s="8">
        <v>71.548709375000001</v>
      </c>
      <c r="AW17" s="8">
        <v>34.362996875</v>
      </c>
      <c r="AX17" s="8">
        <v>44.836465625000002</v>
      </c>
      <c r="AY17" s="8">
        <v>45.228784374999996</v>
      </c>
      <c r="AZ17" s="9">
        <v>362.37700000000001</v>
      </c>
      <c r="BA17" s="9">
        <v>344.37799999999999</v>
      </c>
      <c r="BB17" s="9">
        <v>1575.78</v>
      </c>
      <c r="BC17" s="9">
        <v>9.7959999999999994</v>
      </c>
      <c r="BE17" s="44">
        <f t="shared" si="12"/>
        <v>1.0017288315155701</v>
      </c>
      <c r="BF17" s="10" t="e">
        <f t="shared" si="13"/>
        <v>#DIV/0!</v>
      </c>
      <c r="BG17" s="10">
        <f t="shared" si="14"/>
        <v>1.2302381732781642E-4</v>
      </c>
      <c r="BH17" s="10"/>
      <c r="BJ17" s="44"/>
      <c r="BK17" s="44"/>
      <c r="BL17" s="44"/>
      <c r="BM17" s="44"/>
      <c r="BN17" s="44"/>
      <c r="BP17" s="44"/>
      <c r="BQ17" s="44"/>
      <c r="BR17" s="44"/>
      <c r="BS17" s="44"/>
      <c r="BT17" s="44"/>
      <c r="BV17" s="51">
        <f t="shared" si="21"/>
        <v>0.3534893097739209</v>
      </c>
      <c r="BW17" s="51">
        <f t="shared" si="15"/>
        <v>0.25976510442191791</v>
      </c>
      <c r="BX17" s="51">
        <f>(AD17-BB17)/AD17</f>
        <v>0.17545484514073117</v>
      </c>
      <c r="BY17" s="51">
        <f t="shared" si="16"/>
        <v>0.30662720709791941</v>
      </c>
      <c r="BZ17" s="55"/>
      <c r="CA17" s="51"/>
      <c r="CC17" s="57"/>
    </row>
    <row r="18" spans="1:84" outlineLevel="1" x14ac:dyDescent="0.15">
      <c r="A18" s="11"/>
      <c r="B18" s="11" t="s">
        <v>23</v>
      </c>
      <c r="C18" s="12" t="s">
        <v>147</v>
      </c>
      <c r="D18" s="11">
        <v>322589704</v>
      </c>
      <c r="E18" s="12">
        <v>10</v>
      </c>
      <c r="F18" s="12">
        <v>32</v>
      </c>
      <c r="G18" s="12">
        <v>30</v>
      </c>
      <c r="I18" s="13">
        <f t="shared" si="0"/>
        <v>20.167642499999999</v>
      </c>
      <c r="J18" s="14">
        <f t="shared" si="1"/>
        <v>6.6685798502732124E-2</v>
      </c>
      <c r="K18" s="14">
        <f t="shared" si="2"/>
        <v>1.7280179531086338E-2</v>
      </c>
      <c r="L18" s="14">
        <f t="shared" si="3"/>
        <v>1.3442164911748083E-2</v>
      </c>
      <c r="M18" s="14">
        <f t="shared" si="4"/>
        <v>4.940561897164579E-2</v>
      </c>
      <c r="N18" s="11">
        <f t="shared" si="5"/>
        <v>5574408</v>
      </c>
      <c r="O18" s="14">
        <v>-12</v>
      </c>
      <c r="P18" s="15">
        <v>34802045</v>
      </c>
      <c r="Q18" s="15">
        <v>1087563.90625</v>
      </c>
      <c r="R18" s="15">
        <v>40924.21875</v>
      </c>
      <c r="S18" s="16">
        <v>21512152</v>
      </c>
      <c r="T18" s="16">
        <v>4336304</v>
      </c>
      <c r="U18" s="16">
        <v>1238104</v>
      </c>
      <c r="V18" s="16">
        <v>15937744</v>
      </c>
      <c r="W18" s="17">
        <v>70.369831250000004</v>
      </c>
      <c r="X18" s="17">
        <v>72.947381249999907</v>
      </c>
      <c r="Y18" s="17">
        <v>37.033359375000003</v>
      </c>
      <c r="Z18" s="17">
        <v>46.129693750000001</v>
      </c>
      <c r="AA18" s="17">
        <v>46.645259375000002</v>
      </c>
      <c r="AB18" s="18">
        <v>607.78800000000001</v>
      </c>
      <c r="AC18" s="18">
        <v>537.05799999999999</v>
      </c>
      <c r="AD18" s="18">
        <v>2033.27</v>
      </c>
      <c r="AE18" s="18">
        <v>9.8119999999999994</v>
      </c>
      <c r="AG18" s="13">
        <f t="shared" si="6"/>
        <v>20.211375</v>
      </c>
      <c r="AH18" s="14">
        <f t="shared" si="7"/>
        <v>6.6830403241883996E-2</v>
      </c>
      <c r="AI18" s="14">
        <f t="shared" si="8"/>
        <v>1.7379500741908364E-2</v>
      </c>
      <c r="AJ18" s="14">
        <f t="shared" si="9"/>
        <v>1.3541486122570112E-2</v>
      </c>
      <c r="AK18" s="14">
        <f t="shared" si="10"/>
        <v>4.9450902499975635E-2</v>
      </c>
      <c r="AL18" s="11">
        <f t="shared" si="11"/>
        <v>5606448</v>
      </c>
      <c r="AM18" s="14">
        <v>-12</v>
      </c>
      <c r="AN18" s="15"/>
      <c r="AO18" s="15"/>
      <c r="AP18" s="15"/>
      <c r="AQ18" s="16">
        <v>21558800</v>
      </c>
      <c r="AR18" s="16">
        <v>4368344</v>
      </c>
      <c r="AS18" s="16">
        <v>1238104</v>
      </c>
      <c r="AT18" s="16">
        <v>15952352</v>
      </c>
      <c r="AU18" s="17">
        <v>70.339150000000004</v>
      </c>
      <c r="AV18" s="17">
        <v>72.902828124999999</v>
      </c>
      <c r="AW18" s="17">
        <v>37.042140625000002</v>
      </c>
      <c r="AX18" s="17">
        <v>46.133234375000001</v>
      </c>
      <c r="AY18" s="17">
        <v>46.658790624999902</v>
      </c>
      <c r="AZ18" s="18">
        <v>406.28</v>
      </c>
      <c r="BA18" s="18">
        <v>415.29700000000003</v>
      </c>
      <c r="BB18" s="18">
        <v>1698.17</v>
      </c>
      <c r="BC18" s="18">
        <v>9.75</v>
      </c>
      <c r="BE18" s="43">
        <f t="shared" si="12"/>
        <v>1.0057476955400464</v>
      </c>
      <c r="BF18" s="19" t="e">
        <f t="shared" si="13"/>
        <v>#DIV/0!</v>
      </c>
      <c r="BG18" s="19">
        <f t="shared" si="14"/>
        <v>9.2547737865172897E-4</v>
      </c>
      <c r="BH18" s="19"/>
      <c r="BJ18" s="43"/>
      <c r="BK18" s="43"/>
      <c r="BL18" s="43"/>
      <c r="BM18" s="43"/>
      <c r="BN18" s="43"/>
      <c r="BP18" s="43"/>
      <c r="BQ18" s="43"/>
      <c r="BR18" s="43"/>
      <c r="BS18" s="43"/>
      <c r="BT18" s="43"/>
      <c r="BV18" s="51">
        <f t="shared" si="21"/>
        <v>0.33154323547026271</v>
      </c>
      <c r="BW18" s="51">
        <f t="shared" si="15"/>
        <v>0.22671852946981513</v>
      </c>
      <c r="BX18" s="51">
        <f t="shared" si="15"/>
        <v>0.16480841206529379</v>
      </c>
      <c r="BY18" s="51">
        <f t="shared" si="16"/>
        <v>0.27913088247003892</v>
      </c>
      <c r="BZ18" s="55"/>
      <c r="CA18" s="51"/>
      <c r="CC18" s="57"/>
    </row>
    <row r="19" spans="1:84" ht="14.25" outlineLevel="1" thickBot="1" x14ac:dyDescent="0.2">
      <c r="A19" s="46"/>
      <c r="B19" s="20" t="s">
        <v>23</v>
      </c>
      <c r="C19" s="21" t="s">
        <v>148</v>
      </c>
      <c r="D19" s="20">
        <v>322589704</v>
      </c>
      <c r="E19" s="21">
        <v>10</v>
      </c>
      <c r="F19" s="21">
        <v>32</v>
      </c>
      <c r="G19" s="21">
        <v>30</v>
      </c>
      <c r="I19" s="22">
        <f t="shared" si="0"/>
        <v>35.688764999999997</v>
      </c>
      <c r="J19" s="23">
        <f t="shared" si="1"/>
        <v>0.11800753566518044</v>
      </c>
      <c r="K19" s="23">
        <f t="shared" si="2"/>
        <v>2.7760638014659018E-2</v>
      </c>
      <c r="L19" s="23">
        <f t="shared" si="3"/>
        <v>2.064958651005179E-2</v>
      </c>
      <c r="M19" s="23">
        <f t="shared" si="4"/>
        <v>9.0246897650521421E-2</v>
      </c>
      <c r="N19" s="20">
        <f t="shared" si="5"/>
        <v>8955296</v>
      </c>
      <c r="O19" s="23">
        <v>-12</v>
      </c>
      <c r="P19" s="24">
        <v>33040002</v>
      </c>
      <c r="Q19" s="24">
        <v>1032500.0625</v>
      </c>
      <c r="R19" s="24">
        <v>17720.5</v>
      </c>
      <c r="S19" s="25">
        <v>38068016</v>
      </c>
      <c r="T19" s="25">
        <v>6661344</v>
      </c>
      <c r="U19" s="25">
        <v>2293952</v>
      </c>
      <c r="V19" s="25">
        <v>29112720</v>
      </c>
      <c r="W19" s="26">
        <v>71.147937499999898</v>
      </c>
      <c r="X19" s="26">
        <v>75.002496874999906</v>
      </c>
      <c r="Y19" s="26">
        <v>39.495606249999902</v>
      </c>
      <c r="Z19" s="26">
        <v>47.874012499999999</v>
      </c>
      <c r="AA19" s="26">
        <v>48.468343750000003</v>
      </c>
      <c r="AB19" s="27">
        <v>675.197</v>
      </c>
      <c r="AC19" s="27">
        <v>651.59500000000003</v>
      </c>
      <c r="AD19" s="27">
        <v>2228.9499999999998</v>
      </c>
      <c r="AE19" s="27">
        <v>9.89</v>
      </c>
      <c r="AG19" s="22">
        <f t="shared" si="6"/>
        <v>35.758612499999998</v>
      </c>
      <c r="AH19" s="23">
        <f t="shared" si="7"/>
        <v>0.11823849157938407</v>
      </c>
      <c r="AI19" s="23">
        <f t="shared" si="8"/>
        <v>2.789152873893334E-2</v>
      </c>
      <c r="AJ19" s="23">
        <f t="shared" si="9"/>
        <v>2.0780477234326116E-2</v>
      </c>
      <c r="AK19" s="23">
        <f t="shared" si="10"/>
        <v>9.0346962840450726E-2</v>
      </c>
      <c r="AL19" s="20">
        <f t="shared" si="11"/>
        <v>8997520</v>
      </c>
      <c r="AM19" s="23">
        <v>-12</v>
      </c>
      <c r="AN19" s="24"/>
      <c r="AO19" s="24"/>
      <c r="AP19" s="24"/>
      <c r="AQ19" s="25">
        <v>38142520</v>
      </c>
      <c r="AR19" s="25">
        <v>6703568</v>
      </c>
      <c r="AS19" s="25">
        <v>2293952</v>
      </c>
      <c r="AT19" s="25">
        <v>29145000</v>
      </c>
      <c r="AU19" s="26">
        <v>71.144309374999906</v>
      </c>
      <c r="AV19" s="26">
        <v>74.958637499999995</v>
      </c>
      <c r="AW19" s="26">
        <v>39.499390624999997</v>
      </c>
      <c r="AX19" s="26">
        <v>47.877087500000002</v>
      </c>
      <c r="AY19" s="26">
        <v>48.473715624999997</v>
      </c>
      <c r="AZ19" s="27">
        <v>463.42700000000002</v>
      </c>
      <c r="BA19" s="27">
        <v>527.76800000000003</v>
      </c>
      <c r="BB19" s="27">
        <v>1880.73</v>
      </c>
      <c r="BC19" s="27">
        <v>9.7959999999999994</v>
      </c>
      <c r="BE19" s="28">
        <f t="shared" si="12"/>
        <v>1.004714975362065</v>
      </c>
      <c r="BF19" s="29" t="e">
        <f t="shared" si="13"/>
        <v>#DIV/0!</v>
      </c>
      <c r="BG19" s="29">
        <f t="shared" si="14"/>
        <v>6.4750139082223046E-4</v>
      </c>
      <c r="BH19" s="29"/>
      <c r="BJ19" s="28"/>
      <c r="BK19" s="28"/>
      <c r="BL19" s="28"/>
      <c r="BM19" s="28"/>
      <c r="BN19" s="28"/>
      <c r="BP19" s="28"/>
      <c r="BQ19" s="28"/>
      <c r="BR19" s="28"/>
      <c r="BS19" s="28"/>
      <c r="BT19" s="28"/>
      <c r="BV19" s="51">
        <f t="shared" si="21"/>
        <v>0.3136417963942375</v>
      </c>
      <c r="BW19" s="51">
        <f t="shared" si="15"/>
        <v>0.19003675596037414</v>
      </c>
      <c r="BX19" s="51">
        <f t="shared" si="15"/>
        <v>0.15622602570717145</v>
      </c>
      <c r="BY19" s="51">
        <f t="shared" si="16"/>
        <v>0.25183927617730584</v>
      </c>
      <c r="BZ19" s="55">
        <f t="shared" ref="BZ19:CA19" si="22">AVERAGE(BV15:BV19)</f>
        <v>0.35133981435369377</v>
      </c>
      <c r="CA19" s="51">
        <f t="shared" si="22"/>
        <v>0.24667900565607229</v>
      </c>
      <c r="CB19" s="51">
        <f>AVERAGE(BX15:BX19)</f>
        <v>0.17026482677260502</v>
      </c>
      <c r="CC19" s="58">
        <f>AVERAGE(BY15:BY19)</f>
        <v>0.29900941000488307</v>
      </c>
      <c r="CD19" s="51">
        <f t="shared" ref="CD19:CE19" si="23">(SUM(AB15:AB19)-SUM(AZ15:AZ19))/SUM(AB15:AB19)</f>
        <v>0.3481182426556077</v>
      </c>
      <c r="CE19" s="51">
        <f t="shared" si="23"/>
        <v>0.24085229415863793</v>
      </c>
      <c r="CF19" s="51">
        <f t="shared" ref="CF19" si="24">(SUM(AB15:AC19)-SUM(AZ15:BA19))/SUM(AB15:AC19)</f>
        <v>0.29787177493588518</v>
      </c>
    </row>
    <row r="20" spans="1:84" x14ac:dyDescent="0.15">
      <c r="A20" s="11"/>
      <c r="B20" s="11" t="s">
        <v>26</v>
      </c>
      <c r="C20" s="12" t="s">
        <v>144</v>
      </c>
      <c r="D20" s="11">
        <v>250602891</v>
      </c>
      <c r="E20" s="12">
        <v>10</v>
      </c>
      <c r="F20" s="12">
        <v>32</v>
      </c>
      <c r="G20" s="12">
        <v>50</v>
      </c>
      <c r="I20" s="13">
        <f t="shared" si="0"/>
        <v>5.0936000000000003</v>
      </c>
      <c r="J20" s="14">
        <f t="shared" si="1"/>
        <v>1.3008245782767127E-2</v>
      </c>
      <c r="K20" s="14">
        <f t="shared" si="2"/>
        <v>7.583088895810065E-3</v>
      </c>
      <c r="L20" s="14">
        <f t="shared" si="3"/>
        <v>3.7914646403660202E-3</v>
      </c>
      <c r="M20" s="14">
        <f t="shared" si="4"/>
        <v>5.425156886957062E-3</v>
      </c>
      <c r="N20" s="11">
        <f t="shared" si="5"/>
        <v>1900344</v>
      </c>
      <c r="O20" s="14">
        <v>-12</v>
      </c>
      <c r="P20" s="15">
        <v>30202618</v>
      </c>
      <c r="Q20" s="15">
        <v>943831.8125</v>
      </c>
      <c r="R20" s="15">
        <v>27795.1875</v>
      </c>
      <c r="S20" s="16">
        <v>3259904</v>
      </c>
      <c r="T20" s="16">
        <v>950152</v>
      </c>
      <c r="U20" s="16">
        <v>950192</v>
      </c>
      <c r="V20" s="16">
        <v>1359560</v>
      </c>
      <c r="W20" s="17">
        <v>67.119896874999995</v>
      </c>
      <c r="X20" s="17">
        <v>68.826574999999906</v>
      </c>
      <c r="Y20" s="17">
        <v>30.701740624999999</v>
      </c>
      <c r="Z20" s="17">
        <v>39.504118749999897</v>
      </c>
      <c r="AA20" s="17">
        <v>38.223546874999997</v>
      </c>
      <c r="AB20" s="18">
        <v>517.50800000000004</v>
      </c>
      <c r="AC20" s="18">
        <v>460.06200000000001</v>
      </c>
      <c r="AD20" s="18">
        <v>1816.06</v>
      </c>
      <c r="AE20" s="18">
        <v>10.875</v>
      </c>
      <c r="AG20" s="13">
        <f t="shared" si="6"/>
        <v>5.0994250000000001</v>
      </c>
      <c r="AH20" s="14">
        <f t="shared" si="7"/>
        <v>1.3023121908038962E-2</v>
      </c>
      <c r="AI20" s="14">
        <f t="shared" si="8"/>
        <v>7.579800825202771E-3</v>
      </c>
      <c r="AJ20" s="14">
        <f t="shared" si="9"/>
        <v>3.7881765697587262E-3</v>
      </c>
      <c r="AK20" s="14">
        <f t="shared" si="10"/>
        <v>5.4433210828361911E-3</v>
      </c>
      <c r="AL20" s="11">
        <f t="shared" si="11"/>
        <v>1899520</v>
      </c>
      <c r="AM20" s="14">
        <v>-12</v>
      </c>
      <c r="AN20" s="15"/>
      <c r="AO20" s="15"/>
      <c r="AP20" s="15"/>
      <c r="AQ20" s="16">
        <v>3263632</v>
      </c>
      <c r="AR20" s="16">
        <v>949328</v>
      </c>
      <c r="AS20" s="16">
        <v>950192</v>
      </c>
      <c r="AT20" s="16">
        <v>1364112</v>
      </c>
      <c r="AU20" s="17">
        <v>67.112878124999995</v>
      </c>
      <c r="AV20" s="17">
        <v>68.817543749999999</v>
      </c>
      <c r="AW20" s="17">
        <v>30.699037499999999</v>
      </c>
      <c r="AX20" s="17">
        <v>39.499896874999997</v>
      </c>
      <c r="AY20" s="17">
        <v>38.248621874999898</v>
      </c>
      <c r="AZ20" s="18">
        <v>271.08699999999999</v>
      </c>
      <c r="BA20" s="18">
        <v>267.69299999999998</v>
      </c>
      <c r="BB20" s="18">
        <v>1377.13</v>
      </c>
      <c r="BC20" s="18">
        <v>10.781000000000001</v>
      </c>
      <c r="BE20" s="43">
        <f t="shared" si="12"/>
        <v>0.99956639429492766</v>
      </c>
      <c r="BF20" s="19" t="e">
        <f t="shared" si="13"/>
        <v>#DIV/0!</v>
      </c>
      <c r="BG20" s="19">
        <f t="shared" si="14"/>
        <v>-9.1836889601903948E-4</v>
      </c>
      <c r="BH20" s="19">
        <f t="array" ref="BH20">AVERAGE(AL20:AL24/AQ20:AQ24) - AVERAGE(N20:N24/S20:S24)</f>
        <v>-2.9344475468462417E-4</v>
      </c>
      <c r="BJ20" s="43">
        <f>IF( OR(ISBLANK(N20:N24),ISBLANK(AL20:AL24), ISBLANK(W20:W24),ISBLANK(AU20:AU24)), "·", bdRateExtend( N20:N24,W20:W24, AL20:AL24,AU20:AU24))</f>
        <v>1.2402258556741153E-2</v>
      </c>
      <c r="BK20" s="43">
        <f>IF( OR(ISBLANK(N20:N24),ISBLANK(AL20:AL24), ISBLANK(X20:X24),ISBLANK(AV20:AV24)), "·", bdRateExtend( N20:N24,X20:X24, AL20:AL24,AV20:AV24))</f>
        <v>1.523687347372249E-2</v>
      </c>
      <c r="BL20" s="43">
        <f>IF( OR(ISBLANK(V20:V24),ISBLANK(AT20:AT24), ISBLANK(Y20:Y24),ISBLANK(AW20:AW24)), "·", bdRateExtend( V20:V24,Y20:Y24, AT20:AT24,AW20:AW24))</f>
        <v>1.2117119915824981E-2</v>
      </c>
      <c r="BM20" s="43">
        <f>IF( OR(ISBLANK(V20:V24),ISBLANK(AT20:AT24), ISBLANK(Z20:Z24),ISBLANK(AX20:AX24)), "·", bdRateExtend( V20:V24,Z20:Z24, AT20:AT24,AX20:AX24))</f>
        <v>-2.4895051189774975E-3</v>
      </c>
      <c r="BN20" s="43">
        <f>IF( OR(ISBLANK(V20:V24),ISBLANK(AT20:AT24), ISBLANK(AA20:AA24),ISBLANK(AY20:AY24)), "·", bdRateExtend( V20:V24,AA20:AA24, AT20:AT24,AY20:AY24))</f>
        <v>-6.7435371673071343E-3</v>
      </c>
      <c r="BP20" s="43">
        <f>IF( OR(ISBLANK(S20:S24),ISBLANK(AQ20:AQ24), ISBLANK(W20:W24),ISBLANK(AU20:AU24)), "·", bdRateExtend( S20:S24,W20:W24, AQ20:AQ24,AU20:AU24))</f>
        <v>2.0390010301794881E-2</v>
      </c>
      <c r="BQ20" s="43">
        <f>IF( OR(ISBLANK(S20:S24),ISBLANK(AQ20:AQ24), ISBLANK(X20:X24),ISBLANK(AV20:AV24)), "·", bdRateExtend( S20:S24,X20:X24, AQ20:AQ24,AV20:AV24))</f>
        <v>2.2875780210265706E-2</v>
      </c>
      <c r="BR20" s="43">
        <f>IF( OR(ISBLANK(S20:S24),ISBLANK(AQ20:AQ24), ISBLANK(Y20:Y24),ISBLANK(AW20:AW24)), "·", bdRateExtend( S20:S24,Y20:Y24, AQ20:AQ24,AW20:AW24))</f>
        <v>9.351316568212642E-3</v>
      </c>
      <c r="BS20" s="43">
        <f>IF( OR(ISBLANK(S20:S24),ISBLANK(AQ20:AQ24), ISBLANK(Z20:Z24),ISBLANK(AX20:AX24)), "·", bdRateExtend( S20:S24,Z20:Z24, AQ20:AQ24,AX20:AX24))</f>
        <v>-2.2878899503497863E-3</v>
      </c>
      <c r="BT20" s="43">
        <f>IF( OR(ISBLANK(S20:S24),ISBLANK(AQ20:AQ24), ISBLANK(AA20:AA24),ISBLANK(AY20:AY24)), "·", bdRateExtend( S20:S24,AA20:AA24, AQ20:AQ24,AY20:AY24))</f>
        <v>-6.451225449429776E-3</v>
      </c>
      <c r="BV20" s="51">
        <f t="shared" si="21"/>
        <v>0.47616848435193276</v>
      </c>
      <c r="BW20" s="51">
        <f t="shared" si="15"/>
        <v>0.41813712064895608</v>
      </c>
      <c r="BX20" s="51">
        <f t="shared" si="15"/>
        <v>0.24169355638029572</v>
      </c>
      <c r="BY20" s="51">
        <f t="shared" si="16"/>
        <v>0.44715280250044442</v>
      </c>
      <c r="BZ20" s="55"/>
      <c r="CA20" s="51"/>
      <c r="CC20" s="57"/>
    </row>
    <row r="21" spans="1:84" outlineLevel="1" x14ac:dyDescent="0.15">
      <c r="A21" s="46"/>
      <c r="B21" s="46" t="s">
        <v>26</v>
      </c>
      <c r="C21" s="3" t="s">
        <v>145</v>
      </c>
      <c r="D21" s="46">
        <v>250602891</v>
      </c>
      <c r="E21" s="3">
        <v>10</v>
      </c>
      <c r="F21" s="3">
        <v>32</v>
      </c>
      <c r="G21" s="3">
        <v>50</v>
      </c>
      <c r="I21" s="4">
        <f t="shared" si="0"/>
        <v>7.5828249999999997</v>
      </c>
      <c r="J21" s="5">
        <f t="shared" si="1"/>
        <v>1.9365331264275001E-2</v>
      </c>
      <c r="K21" s="5">
        <f t="shared" si="2"/>
        <v>9.0187626766045567E-3</v>
      </c>
      <c r="L21" s="5">
        <f t="shared" si="3"/>
        <v>5.2271384211605128E-3</v>
      </c>
      <c r="M21" s="5">
        <f t="shared" si="4"/>
        <v>1.0346568587670442E-2</v>
      </c>
      <c r="N21" s="46">
        <f t="shared" si="5"/>
        <v>2260128</v>
      </c>
      <c r="O21" s="5">
        <v>-12</v>
      </c>
      <c r="P21" s="6">
        <v>31470210</v>
      </c>
      <c r="Q21" s="6">
        <v>983444.0625</v>
      </c>
      <c r="R21" s="6">
        <v>32994.5</v>
      </c>
      <c r="S21" s="7">
        <v>4853008</v>
      </c>
      <c r="T21" s="7">
        <v>1309936</v>
      </c>
      <c r="U21" s="7">
        <v>950192</v>
      </c>
      <c r="V21" s="7">
        <v>2592880</v>
      </c>
      <c r="W21" s="8">
        <v>68.687637499999994</v>
      </c>
      <c r="X21" s="8">
        <v>70.768968749999999</v>
      </c>
      <c r="Y21" s="8">
        <v>32.499071874999998</v>
      </c>
      <c r="Z21" s="8">
        <v>40.637934375</v>
      </c>
      <c r="AA21" s="8">
        <v>39.554534375000003</v>
      </c>
      <c r="AB21" s="9">
        <v>557.04</v>
      </c>
      <c r="AC21" s="9">
        <v>476.26299999999998</v>
      </c>
      <c r="AD21" s="9">
        <v>1871.19</v>
      </c>
      <c r="AE21" s="9">
        <v>11.061999999999999</v>
      </c>
      <c r="AG21" s="4">
        <f t="shared" si="6"/>
        <v>7.5916375</v>
      </c>
      <c r="AH21" s="5">
        <f t="shared" si="7"/>
        <v>1.938783699027638E-2</v>
      </c>
      <c r="AI21" s="5">
        <f t="shared" si="8"/>
        <v>9.0151234528256102E-3</v>
      </c>
      <c r="AJ21" s="5">
        <f t="shared" si="9"/>
        <v>5.2234991973815655E-3</v>
      </c>
      <c r="AK21" s="5">
        <f t="shared" si="10"/>
        <v>1.0372713537450772E-2</v>
      </c>
      <c r="AL21" s="46">
        <f t="shared" si="11"/>
        <v>2259216</v>
      </c>
      <c r="AM21" s="5">
        <v>-12</v>
      </c>
      <c r="AN21" s="6"/>
      <c r="AO21" s="6"/>
      <c r="AP21" s="6"/>
      <c r="AQ21" s="7">
        <v>4858648</v>
      </c>
      <c r="AR21" s="7">
        <v>1309024</v>
      </c>
      <c r="AS21" s="7">
        <v>950192</v>
      </c>
      <c r="AT21" s="7">
        <v>2599432</v>
      </c>
      <c r="AU21" s="8">
        <v>68.655509374999895</v>
      </c>
      <c r="AV21" s="8">
        <v>70.720500000000001</v>
      </c>
      <c r="AW21" s="8">
        <v>32.474115625000003</v>
      </c>
      <c r="AX21" s="8">
        <v>40.651306249999998</v>
      </c>
      <c r="AY21" s="8">
        <v>39.545965625000001</v>
      </c>
      <c r="AZ21" s="9">
        <v>308.39100000000002</v>
      </c>
      <c r="BA21" s="9">
        <v>282.10399999999998</v>
      </c>
      <c r="BB21" s="9">
        <v>1427.94</v>
      </c>
      <c r="BC21" s="9">
        <v>10.75</v>
      </c>
      <c r="BE21" s="44">
        <f t="shared" si="12"/>
        <v>0.99959648303104964</v>
      </c>
      <c r="BF21" s="10" t="e">
        <f t="shared" si="13"/>
        <v>#DIV/0!</v>
      </c>
      <c r="BG21" s="10">
        <f t="shared" si="14"/>
        <v>-7.2831855698923809E-4</v>
      </c>
      <c r="BH21" s="10"/>
      <c r="BJ21" s="44"/>
      <c r="BK21" s="44"/>
      <c r="BL21" s="44"/>
      <c r="BM21" s="44"/>
      <c r="BN21" s="44"/>
      <c r="BP21" s="44"/>
      <c r="BQ21" s="44"/>
      <c r="BR21" s="44"/>
      <c r="BS21" s="44"/>
      <c r="BT21" s="44"/>
      <c r="BV21" s="51">
        <f t="shared" si="21"/>
        <v>0.44637548470486854</v>
      </c>
      <c r="BW21" s="51">
        <f>(AC21-BA21)/AC21</f>
        <v>0.4076718115830959</v>
      </c>
      <c r="BX21" s="51">
        <f t="shared" si="21"/>
        <v>0.23688134288874993</v>
      </c>
      <c r="BY21" s="51">
        <f t="shared" si="16"/>
        <v>0.42702364814398219</v>
      </c>
      <c r="BZ21" s="55"/>
      <c r="CA21" s="51"/>
      <c r="CC21" s="57"/>
    </row>
    <row r="22" spans="1:84" outlineLevel="1" x14ac:dyDescent="0.15">
      <c r="A22" s="11"/>
      <c r="B22" s="11" t="s">
        <v>26</v>
      </c>
      <c r="C22" s="12" t="s">
        <v>146</v>
      </c>
      <c r="D22" s="11">
        <v>250602891</v>
      </c>
      <c r="E22" s="12">
        <v>10</v>
      </c>
      <c r="F22" s="12">
        <v>32</v>
      </c>
      <c r="G22" s="12">
        <v>50</v>
      </c>
      <c r="I22" s="13">
        <f t="shared" si="0"/>
        <v>12.3580875</v>
      </c>
      <c r="J22" s="14">
        <f t="shared" si="1"/>
        <v>3.1560593608634786E-2</v>
      </c>
      <c r="K22" s="14">
        <f t="shared" si="2"/>
        <v>1.1265089515667239E-2</v>
      </c>
      <c r="L22" s="14">
        <f t="shared" si="3"/>
        <v>7.4734652602231949E-3</v>
      </c>
      <c r="M22" s="14">
        <f t="shared" si="4"/>
        <v>2.0295504092967546E-2</v>
      </c>
      <c r="N22" s="11">
        <f t="shared" si="5"/>
        <v>2823064</v>
      </c>
      <c r="O22" s="14">
        <v>-12</v>
      </c>
      <c r="P22" s="15">
        <v>32774469</v>
      </c>
      <c r="Q22" s="15">
        <v>1024202.15625</v>
      </c>
      <c r="R22" s="15">
        <v>35190.1875</v>
      </c>
      <c r="S22" s="16">
        <v>7909176</v>
      </c>
      <c r="T22" s="16">
        <v>1872872</v>
      </c>
      <c r="U22" s="16">
        <v>950192</v>
      </c>
      <c r="V22" s="16">
        <v>5086112</v>
      </c>
      <c r="W22" s="17">
        <v>69.849543749999995</v>
      </c>
      <c r="X22" s="17">
        <v>72.244293749999898</v>
      </c>
      <c r="Y22" s="17">
        <v>34.215484375000003</v>
      </c>
      <c r="Z22" s="17">
        <v>41.679962499999903</v>
      </c>
      <c r="AA22" s="17">
        <v>40.578524999999999</v>
      </c>
      <c r="AB22" s="18">
        <v>586.04899999999998</v>
      </c>
      <c r="AC22" s="18">
        <v>501.37400000000002</v>
      </c>
      <c r="AD22" s="18">
        <v>1928.45</v>
      </c>
      <c r="AE22" s="18">
        <v>10.718</v>
      </c>
      <c r="AG22" s="13">
        <f t="shared" si="6"/>
        <v>12.429987499999999</v>
      </c>
      <c r="AH22" s="14">
        <f t="shared" si="7"/>
        <v>3.1744214794393572E-2</v>
      </c>
      <c r="AI22" s="14">
        <f t="shared" si="8"/>
        <v>1.1295480226523005E-2</v>
      </c>
      <c r="AJ22" s="14">
        <f t="shared" si="9"/>
        <v>7.5038559710789605E-3</v>
      </c>
      <c r="AK22" s="14">
        <f t="shared" si="10"/>
        <v>2.0448734567870566E-2</v>
      </c>
      <c r="AL22" s="11">
        <f t="shared" si="11"/>
        <v>2830680</v>
      </c>
      <c r="AM22" s="14">
        <v>-12</v>
      </c>
      <c r="AN22" s="15"/>
      <c r="AO22" s="15"/>
      <c r="AP22" s="15"/>
      <c r="AQ22" s="16">
        <v>7955192</v>
      </c>
      <c r="AR22" s="16">
        <v>1880488</v>
      </c>
      <c r="AS22" s="16">
        <v>950192</v>
      </c>
      <c r="AT22" s="16">
        <v>5124512</v>
      </c>
      <c r="AU22" s="17">
        <v>69.806893749999901</v>
      </c>
      <c r="AV22" s="17">
        <v>72.180721875000003</v>
      </c>
      <c r="AW22" s="17">
        <v>34.205975000000002</v>
      </c>
      <c r="AX22" s="17">
        <v>41.676528124999898</v>
      </c>
      <c r="AY22" s="17">
        <v>40.591587500000003</v>
      </c>
      <c r="AZ22" s="18">
        <v>331.28300000000002</v>
      </c>
      <c r="BA22" s="18">
        <v>305.572</v>
      </c>
      <c r="BB22" s="18">
        <v>1475.2</v>
      </c>
      <c r="BC22" s="18">
        <v>10.718</v>
      </c>
      <c r="BE22" s="43">
        <f t="shared" si="12"/>
        <v>1.0026977780170765</v>
      </c>
      <c r="BF22" s="19" t="e">
        <f t="shared" si="13"/>
        <v>#DIV/0!</v>
      </c>
      <c r="BG22" s="19">
        <f t="shared" si="14"/>
        <v>-1.107293718948632E-3</v>
      </c>
      <c r="BH22" s="19"/>
      <c r="BJ22" s="43"/>
      <c r="BK22" s="43"/>
      <c r="BL22" s="43"/>
      <c r="BM22" s="43"/>
      <c r="BN22" s="43"/>
      <c r="BP22" s="43"/>
      <c r="BQ22" s="43"/>
      <c r="BR22" s="43"/>
      <c r="BS22" s="43"/>
      <c r="BT22" s="43"/>
      <c r="BV22" s="51">
        <f t="shared" si="21"/>
        <v>0.43471791607868959</v>
      </c>
      <c r="BW22" s="51">
        <f t="shared" si="21"/>
        <v>0.39053082130305922</v>
      </c>
      <c r="BX22" s="51">
        <f t="shared" si="21"/>
        <v>0.23503331691254634</v>
      </c>
      <c r="BY22" s="51">
        <f t="shared" si="16"/>
        <v>0.41262436869087438</v>
      </c>
      <c r="BZ22" s="55"/>
      <c r="CA22" s="51"/>
      <c r="CC22" s="57"/>
    </row>
    <row r="23" spans="1:84" outlineLevel="1" x14ac:dyDescent="0.15">
      <c r="A23" s="46"/>
      <c r="B23" s="46" t="s">
        <v>26</v>
      </c>
      <c r="C23" s="3" t="s">
        <v>147</v>
      </c>
      <c r="D23" s="46">
        <v>250602891</v>
      </c>
      <c r="E23" s="3">
        <v>10</v>
      </c>
      <c r="F23" s="3">
        <v>32</v>
      </c>
      <c r="G23" s="3">
        <v>50</v>
      </c>
      <c r="I23" s="4">
        <f t="shared" si="0"/>
        <v>22.005125</v>
      </c>
      <c r="J23" s="5">
        <f t="shared" si="1"/>
        <v>5.619759590083899E-2</v>
      </c>
      <c r="K23" s="5">
        <f t="shared" si="2"/>
        <v>1.5193503892977835E-2</v>
      </c>
      <c r="L23" s="5">
        <f t="shared" si="3"/>
        <v>1.140187963753379E-2</v>
      </c>
      <c r="M23" s="5">
        <f t="shared" si="4"/>
        <v>4.1004092007861155E-2</v>
      </c>
      <c r="N23" s="46">
        <f t="shared" si="5"/>
        <v>3807536</v>
      </c>
      <c r="O23" s="5">
        <v>-12</v>
      </c>
      <c r="P23" s="6">
        <v>32769151</v>
      </c>
      <c r="Q23" s="6">
        <v>1024035.96875</v>
      </c>
      <c r="R23" s="6">
        <v>36890.875</v>
      </c>
      <c r="S23" s="7">
        <v>14083280</v>
      </c>
      <c r="T23" s="7">
        <v>2857344</v>
      </c>
      <c r="U23" s="7">
        <v>950192</v>
      </c>
      <c r="V23" s="7">
        <v>10275744</v>
      </c>
      <c r="W23" s="8">
        <v>70.891781249999894</v>
      </c>
      <c r="X23" s="8">
        <v>73.621353124999999</v>
      </c>
      <c r="Y23" s="8">
        <v>35.690490625000002</v>
      </c>
      <c r="Z23" s="8">
        <v>42.822521875</v>
      </c>
      <c r="AA23" s="8">
        <v>41.617903124999998</v>
      </c>
      <c r="AB23" s="9">
        <v>633.92999999999995</v>
      </c>
      <c r="AC23" s="9">
        <v>544.75</v>
      </c>
      <c r="AD23" s="9">
        <v>2017</v>
      </c>
      <c r="AE23" s="9">
        <v>10.656000000000001</v>
      </c>
      <c r="AG23" s="4">
        <f t="shared" si="6"/>
        <v>22.11355</v>
      </c>
      <c r="AH23" s="5">
        <f t="shared" si="7"/>
        <v>5.6474496138194989E-2</v>
      </c>
      <c r="AI23" s="5">
        <f t="shared" si="8"/>
        <v>1.5290358322322785E-2</v>
      </c>
      <c r="AJ23" s="5">
        <f t="shared" si="9"/>
        <v>1.1498734066878742E-2</v>
      </c>
      <c r="AK23" s="5">
        <f t="shared" si="10"/>
        <v>4.1184137815872206E-2</v>
      </c>
      <c r="AL23" s="46">
        <f t="shared" si="11"/>
        <v>3831808</v>
      </c>
      <c r="AM23" s="5">
        <v>-12</v>
      </c>
      <c r="AN23" s="6"/>
      <c r="AO23" s="6"/>
      <c r="AP23" s="6"/>
      <c r="AQ23" s="7">
        <v>14152672</v>
      </c>
      <c r="AR23" s="7">
        <v>2881616</v>
      </c>
      <c r="AS23" s="7">
        <v>950192</v>
      </c>
      <c r="AT23" s="7">
        <v>10320864</v>
      </c>
      <c r="AU23" s="8">
        <v>70.838606249999998</v>
      </c>
      <c r="AV23" s="8">
        <v>73.538424999999904</v>
      </c>
      <c r="AW23" s="8">
        <v>35.665774999999996</v>
      </c>
      <c r="AX23" s="8">
        <v>42.847303124999897</v>
      </c>
      <c r="AY23" s="8">
        <v>41.661156249999998</v>
      </c>
      <c r="AZ23" s="9">
        <v>361.22500000000002</v>
      </c>
      <c r="BA23" s="9">
        <v>348.66699999999997</v>
      </c>
      <c r="BB23" s="9">
        <v>1547.91</v>
      </c>
      <c r="BC23" s="9">
        <v>10.765000000000001</v>
      </c>
      <c r="BE23" s="44">
        <f t="shared" si="12"/>
        <v>1.0063747263322</v>
      </c>
      <c r="BF23" s="10" t="e">
        <f t="shared" si="13"/>
        <v>#DIV/0!</v>
      </c>
      <c r="BG23" s="10">
        <f t="shared" si="14"/>
        <v>3.8941588978513852E-4</v>
      </c>
      <c r="BH23" s="10"/>
      <c r="BJ23" s="44"/>
      <c r="BK23" s="44"/>
      <c r="BL23" s="44"/>
      <c r="BM23" s="44"/>
      <c r="BN23" s="44"/>
      <c r="BP23" s="44"/>
      <c r="BQ23" s="44"/>
      <c r="BR23" s="44"/>
      <c r="BS23" s="44"/>
      <c r="BT23" s="44"/>
      <c r="BV23" s="51">
        <f t="shared" si="21"/>
        <v>0.43018156578802069</v>
      </c>
      <c r="BW23" s="51">
        <f t="shared" si="21"/>
        <v>0.3599504359798073</v>
      </c>
      <c r="BX23" s="51">
        <f t="shared" si="21"/>
        <v>0.23256817055032222</v>
      </c>
      <c r="BY23" s="51">
        <f t="shared" si="16"/>
        <v>0.39506600088391397</v>
      </c>
      <c r="BZ23" s="55"/>
      <c r="CA23" s="51"/>
      <c r="CC23" s="57"/>
    </row>
    <row r="24" spans="1:84" ht="14.25" outlineLevel="1" thickBot="1" x14ac:dyDescent="0.2">
      <c r="A24" s="30"/>
      <c r="B24" s="30" t="s">
        <v>26</v>
      </c>
      <c r="C24" s="31" t="s">
        <v>148</v>
      </c>
      <c r="D24" s="30">
        <v>250602891</v>
      </c>
      <c r="E24" s="31">
        <v>10</v>
      </c>
      <c r="F24" s="31">
        <v>32</v>
      </c>
      <c r="G24" s="31">
        <v>50</v>
      </c>
      <c r="I24" s="32">
        <f t="shared" si="0"/>
        <v>38.627387499999998</v>
      </c>
      <c r="J24" s="33">
        <f t="shared" si="1"/>
        <v>9.8648215514800269E-2</v>
      </c>
      <c r="K24" s="33">
        <f t="shared" si="2"/>
        <v>2.5280761824890519E-2</v>
      </c>
      <c r="L24" s="33">
        <f t="shared" si="3"/>
        <v>1.7958835119743291E-2</v>
      </c>
      <c r="M24" s="33">
        <f t="shared" si="4"/>
        <v>7.336745368990974E-2</v>
      </c>
      <c r="N24" s="30">
        <f t="shared" si="5"/>
        <v>6335432</v>
      </c>
      <c r="O24" s="33">
        <v>-12</v>
      </c>
      <c r="P24" s="34">
        <v>31405837</v>
      </c>
      <c r="Q24" s="34">
        <v>981432.40625</v>
      </c>
      <c r="R24" s="34">
        <v>18371.09375</v>
      </c>
      <c r="S24" s="35">
        <v>24721528</v>
      </c>
      <c r="T24" s="35">
        <v>4500536</v>
      </c>
      <c r="U24" s="35">
        <v>1834896</v>
      </c>
      <c r="V24" s="35">
        <v>18386096</v>
      </c>
      <c r="W24" s="36">
        <v>71.729621874999907</v>
      </c>
      <c r="X24" s="36">
        <v>75.643156249999905</v>
      </c>
      <c r="Y24" s="36">
        <v>36.543587500000001</v>
      </c>
      <c r="Z24" s="36">
        <v>43.589959374999999</v>
      </c>
      <c r="AA24" s="36">
        <v>42.051628125000001</v>
      </c>
      <c r="AB24" s="37">
        <v>679.25900000000001</v>
      </c>
      <c r="AC24" s="37">
        <v>624.96</v>
      </c>
      <c r="AD24" s="37">
        <v>2170.64</v>
      </c>
      <c r="AE24" s="37">
        <v>11.045999999999999</v>
      </c>
      <c r="AG24" s="32">
        <f t="shared" si="6"/>
        <v>38.783512500000001</v>
      </c>
      <c r="AH24" s="33">
        <f t="shared" si="7"/>
        <v>9.9046933979704169E-2</v>
      </c>
      <c r="AI24" s="33">
        <f t="shared" si="8"/>
        <v>2.5471821073285224E-2</v>
      </c>
      <c r="AJ24" s="33">
        <f t="shared" si="9"/>
        <v>1.8149894368137996E-2</v>
      </c>
      <c r="AK24" s="33">
        <f t="shared" si="10"/>
        <v>7.3575112906418938E-2</v>
      </c>
      <c r="AL24" s="30">
        <f t="shared" si="11"/>
        <v>6383312</v>
      </c>
      <c r="AM24" s="33">
        <v>-12</v>
      </c>
      <c r="AN24" s="34"/>
      <c r="AO24" s="34"/>
      <c r="AP24" s="34"/>
      <c r="AQ24" s="35">
        <v>24821448</v>
      </c>
      <c r="AR24" s="35">
        <v>4548416</v>
      </c>
      <c r="AS24" s="35">
        <v>1834896</v>
      </c>
      <c r="AT24" s="35">
        <v>18438136</v>
      </c>
      <c r="AU24" s="36">
        <v>71.711100000000002</v>
      </c>
      <c r="AV24" s="36">
        <v>75.572956250000004</v>
      </c>
      <c r="AW24" s="36">
        <v>36.539934375000001</v>
      </c>
      <c r="AX24" s="36">
        <v>43.603737500000001</v>
      </c>
      <c r="AY24" s="36">
        <v>42.072515624999902</v>
      </c>
      <c r="AZ24" s="37">
        <v>400.60599999999999</v>
      </c>
      <c r="BA24" s="37">
        <v>416.37599999999998</v>
      </c>
      <c r="BB24" s="37">
        <v>1672.28</v>
      </c>
      <c r="BC24" s="37">
        <v>10.859</v>
      </c>
      <c r="BE24" s="38">
        <f t="shared" si="12"/>
        <v>1.0075574956845879</v>
      </c>
      <c r="BF24" s="39" t="e">
        <f t="shared" si="13"/>
        <v>#DIV/0!</v>
      </c>
      <c r="BG24" s="39">
        <f t="shared" si="14"/>
        <v>8.9734150874859475E-4</v>
      </c>
      <c r="BH24" s="39"/>
      <c r="BJ24" s="38"/>
      <c r="BK24" s="38"/>
      <c r="BL24" s="38"/>
      <c r="BM24" s="38"/>
      <c r="BN24" s="38"/>
      <c r="BP24" s="38"/>
      <c r="BQ24" s="38"/>
      <c r="BR24" s="38"/>
      <c r="BS24" s="38"/>
      <c r="BT24" s="38"/>
      <c r="BV24" s="52">
        <f>(AB24-AZ24)/AB24</f>
        <v>0.41023085450468821</v>
      </c>
      <c r="BW24" s="52">
        <f t="shared" si="21"/>
        <v>0.33375576036866367</v>
      </c>
      <c r="BX24" s="52">
        <f t="shared" si="21"/>
        <v>0.22959127262005671</v>
      </c>
      <c r="BY24" s="52">
        <f t="shared" si="16"/>
        <v>0.37199330743667591</v>
      </c>
      <c r="BZ24" s="55">
        <f>AVERAGE(BV20:BV24)</f>
        <v>0.43953486108563994</v>
      </c>
      <c r="CA24" s="51">
        <f>AVERAGE(BW20:BW24)</f>
        <v>0.38200918997671646</v>
      </c>
      <c r="CB24" s="51">
        <f>AVERAGE(BX20:BX24)</f>
        <v>0.23515353187039417</v>
      </c>
      <c r="CC24" s="58">
        <f>AVERAGE(BY20:BY24)</f>
        <v>0.41077202553117809</v>
      </c>
      <c r="CD24" s="51">
        <f t="shared" ref="CD24:CE24" si="25">(SUM(AB20:AB24)-SUM(AZ20:AZ24))/SUM(AB20:AB24)</f>
        <v>0.43755468618118448</v>
      </c>
      <c r="CE24" s="51">
        <f t="shared" si="25"/>
        <v>0.37853555004220668</v>
      </c>
      <c r="CF24" s="51">
        <f t="shared" ref="CF24" si="26">(SUM(AB20:AC24)-SUM(AZ20:BA24))/SUM(AB20:AC24)</f>
        <v>0.40998227082192978</v>
      </c>
    </row>
    <row r="25" spans="1:84" x14ac:dyDescent="0.15">
      <c r="A25" s="46" t="s">
        <v>149</v>
      </c>
      <c r="B25" s="46" t="s">
        <v>27</v>
      </c>
      <c r="C25" s="3" t="s">
        <v>144</v>
      </c>
      <c r="D25" s="46">
        <v>250294582</v>
      </c>
      <c r="E25" s="3">
        <v>10</v>
      </c>
      <c r="F25" s="3">
        <v>32</v>
      </c>
      <c r="G25" s="3">
        <v>30</v>
      </c>
      <c r="I25" s="4">
        <f t="shared" si="0"/>
        <v>4.3608675000000003</v>
      </c>
      <c r="J25" s="5">
        <f t="shared" si="1"/>
        <v>1.8584469399341611E-2</v>
      </c>
      <c r="K25" s="5">
        <f t="shared" si="2"/>
        <v>6.4496481989370427E-3</v>
      </c>
      <c r="L25" s="5">
        <f t="shared" si="3"/>
        <v>3.6966041877806209E-3</v>
      </c>
      <c r="M25" s="5">
        <f t="shared" si="4"/>
        <v>1.213482120040457E-2</v>
      </c>
      <c r="N25" s="46">
        <f t="shared" si="5"/>
        <v>1614312</v>
      </c>
      <c r="O25" s="5">
        <v>-12</v>
      </c>
      <c r="P25" s="6">
        <v>23148086</v>
      </c>
      <c r="Q25" s="6">
        <v>723377.6875</v>
      </c>
      <c r="R25" s="6">
        <v>13979.90625</v>
      </c>
      <c r="S25" s="7">
        <v>4651592</v>
      </c>
      <c r="T25" s="7">
        <v>925240</v>
      </c>
      <c r="U25" s="7">
        <v>689072</v>
      </c>
      <c r="V25" s="7">
        <v>3037280</v>
      </c>
      <c r="W25" s="8">
        <v>66.202731249999999</v>
      </c>
      <c r="X25" s="8">
        <v>67.991668750000002</v>
      </c>
      <c r="Y25" s="8">
        <v>27.334187499999999</v>
      </c>
      <c r="Z25" s="8">
        <v>33.179340624999902</v>
      </c>
      <c r="AA25" s="8">
        <v>32.601890624999903</v>
      </c>
      <c r="AB25" s="9">
        <v>465.16699999999997</v>
      </c>
      <c r="AC25" s="9">
        <v>439.43200000000002</v>
      </c>
      <c r="AD25" s="9">
        <v>1346.13</v>
      </c>
      <c r="AE25" s="9">
        <v>10.234</v>
      </c>
      <c r="AG25" s="4">
        <f t="shared" si="6"/>
        <v>4.3597725000000001</v>
      </c>
      <c r="AH25" s="5">
        <f t="shared" si="7"/>
        <v>1.8579802898010794E-2</v>
      </c>
      <c r="AI25" s="5">
        <f t="shared" si="8"/>
        <v>6.4476665339883383E-3</v>
      </c>
      <c r="AJ25" s="5">
        <f t="shared" si="9"/>
        <v>3.6946225228319165E-3</v>
      </c>
      <c r="AK25" s="5">
        <f t="shared" si="10"/>
        <v>1.2132136364022455E-2</v>
      </c>
      <c r="AL25" s="46">
        <f t="shared" si="11"/>
        <v>1613816</v>
      </c>
      <c r="AM25" s="5">
        <v>-12</v>
      </c>
      <c r="AN25" s="6"/>
      <c r="AO25" s="6"/>
      <c r="AP25" s="6"/>
      <c r="AQ25" s="7">
        <v>4650424</v>
      </c>
      <c r="AR25" s="7">
        <v>924744</v>
      </c>
      <c r="AS25" s="7">
        <v>689072</v>
      </c>
      <c r="AT25" s="7">
        <v>3036608</v>
      </c>
      <c r="AU25" s="8">
        <v>66.196618749999999</v>
      </c>
      <c r="AV25" s="8">
        <v>67.970074999999994</v>
      </c>
      <c r="AW25" s="8">
        <v>27.332149999999899</v>
      </c>
      <c r="AX25" s="8">
        <v>33.17278125</v>
      </c>
      <c r="AY25" s="8">
        <v>32.600806249999998</v>
      </c>
      <c r="AZ25" s="9">
        <v>208.52600000000001</v>
      </c>
      <c r="BA25" s="9">
        <v>236.44200000000001</v>
      </c>
      <c r="BB25" s="9">
        <v>883.43700000000001</v>
      </c>
      <c r="BC25" s="9">
        <v>10.406000000000001</v>
      </c>
      <c r="BE25" s="44">
        <f t="shared" si="12"/>
        <v>0.9996927483658673</v>
      </c>
      <c r="BF25" s="10" t="e">
        <f t="shared" si="13"/>
        <v>#DIV/0!</v>
      </c>
      <c r="BG25" s="10">
        <f t="shared" si="14"/>
        <v>-1.9493142158877319E-5</v>
      </c>
      <c r="BH25" s="10">
        <f t="array" ref="BH25">AVERAGE(AL25:AL29/AQ25:AQ29) - AVERAGE(N25:N29/S25:S29)</f>
        <v>3.0679650203882525E-4</v>
      </c>
      <c r="BJ25" s="44">
        <f>IF( OR(ISBLANK(N25:N29),ISBLANK(AL25:AL29), ISBLANK(W25:W29),ISBLANK(AU25:AU29)), "·", bdRateExtend( N25:N29,W25:W29, AL25:AL29,AU25:AU29))</f>
        <v>7.6757470803421324E-3</v>
      </c>
      <c r="BK25" s="44">
        <f>IF( OR(ISBLANK(N25:N29),ISBLANK(AL25:AL29), ISBLANK(X25:X29),ISBLANK(AV25:AV29)), "·", bdRateExtend( N25:N29,X25:X29, AL25:AL29,AV25:AV29))</f>
        <v>1.395108186138061E-2</v>
      </c>
      <c r="BL25" s="44">
        <f>IF( OR(ISBLANK(V25:V29),ISBLANK(AT25:AT29), ISBLANK(Y25:Y29),ISBLANK(AW25:AW29)), "·", bdRateExtend( V25:V29,Y25:Y29, AT25:AT29,AW25:AW29))</f>
        <v>9.3872346031931286E-4</v>
      </c>
      <c r="BM25" s="44">
        <f>IF( OR(ISBLANK(V25:V29),ISBLANK(AT25:AT29), ISBLANK(Z25:Z29),ISBLANK(AX25:AX29)), "·", bdRateExtend( V25:V29,Z25:Z29, AT25:AT29,AX25:AX29))</f>
        <v>-4.4268513620016048E-4</v>
      </c>
      <c r="BN25" s="44">
        <f>IF( OR(ISBLANK(V25:V29),ISBLANK(AT25:AT29), ISBLANK(AA25:AA29),ISBLANK(AY25:AY29)), "·", bdRateExtend( V25:V29,AA25:AA29, AT25:AT29,AY25:AY29))</f>
        <v>-9.6541035594444047E-4</v>
      </c>
      <c r="BP25" s="44">
        <f>IF( OR(ISBLANK(S25:S29),ISBLANK(AQ25:AQ29), ISBLANK(W25:W29),ISBLANK(AU25:AU29)), "·", bdRateExtend( S25:S29,W25:W29, AQ25:AQ29,AU25:AU29))</f>
        <v>1.0885036993992125E-2</v>
      </c>
      <c r="BQ25" s="44">
        <f>IF( OR(ISBLANK(S25:S29),ISBLANK(AQ25:AQ29), ISBLANK(X25:X29),ISBLANK(AV25:AV29)), "·", bdRateExtend( S25:S29,X25:X29, AQ25:AQ29,AV25:AV29))</f>
        <v>2.1210197303669354E-2</v>
      </c>
      <c r="BR25" s="44">
        <f>IF( OR(ISBLANK(S25:S29),ISBLANK(AQ25:AQ29), ISBLANK(Y25:Y29),ISBLANK(AW25:AW29)), "·", bdRateExtend( S25:S29,Y25:Y29, AQ25:AQ29,AW25:AW29))</f>
        <v>1.1961908421227463E-3</v>
      </c>
      <c r="BS25" s="44">
        <f>IF( OR(ISBLANK(S25:S29),ISBLANK(AQ25:AQ29), ISBLANK(Z25:Z29),ISBLANK(AX25:AX29)), "·", bdRateExtend( S25:S29,Z25:Z29, AQ25:AQ29,AX25:AX29))</f>
        <v>5.0699076329374648E-5</v>
      </c>
      <c r="BT25" s="44">
        <f>IF( OR(ISBLANK(S25:S29),ISBLANK(AQ25:AQ29), ISBLANK(AA25:AA29),ISBLANK(AY25:AY29)), "·", bdRateExtend( S25:S29,AA25:AA29, AQ25:AQ29,AY25:AY29))</f>
        <v>-4.1137833025417514E-4</v>
      </c>
      <c r="BV25" s="51">
        <f t="shared" ref="BV25:BX39" si="27">(AB25-AZ25)/AB25</f>
        <v>0.55171798515371895</v>
      </c>
      <c r="BW25" s="51">
        <f t="shared" si="21"/>
        <v>0.46193722805803855</v>
      </c>
      <c r="BX25" s="51">
        <f t="shared" si="21"/>
        <v>0.34372088877002971</v>
      </c>
      <c r="BY25" s="51">
        <f t="shared" si="16"/>
        <v>0.50682760660587878</v>
      </c>
      <c r="BZ25" s="55"/>
      <c r="CA25" s="51"/>
      <c r="CC25" s="57"/>
    </row>
    <row r="26" spans="1:84" outlineLevel="1" x14ac:dyDescent="0.15">
      <c r="A26" s="11"/>
      <c r="B26" s="11" t="s">
        <v>27</v>
      </c>
      <c r="C26" s="12" t="s">
        <v>145</v>
      </c>
      <c r="D26" s="11">
        <v>250294582</v>
      </c>
      <c r="E26" s="12">
        <v>10</v>
      </c>
      <c r="F26" s="12">
        <v>32</v>
      </c>
      <c r="G26" s="12">
        <v>30</v>
      </c>
      <c r="I26" s="13">
        <f t="shared" si="0"/>
        <v>7.4916749999999999</v>
      </c>
      <c r="J26" s="14">
        <f t="shared" si="1"/>
        <v>3.192685968727841E-2</v>
      </c>
      <c r="K26" s="14">
        <f t="shared" si="2"/>
        <v>7.9828495848144245E-3</v>
      </c>
      <c r="L26" s="14">
        <f t="shared" si="3"/>
        <v>5.2298055736580027E-3</v>
      </c>
      <c r="M26" s="14">
        <f t="shared" si="4"/>
        <v>2.3944010102463983E-2</v>
      </c>
      <c r="N26" s="11">
        <f t="shared" si="5"/>
        <v>1998064</v>
      </c>
      <c r="O26" s="14">
        <v>-12</v>
      </c>
      <c r="P26" s="15">
        <v>24596617</v>
      </c>
      <c r="Q26" s="15">
        <v>768644.28125</v>
      </c>
      <c r="R26" s="15">
        <v>17690.84375</v>
      </c>
      <c r="S26" s="16">
        <v>7991120</v>
      </c>
      <c r="T26" s="16">
        <v>1308992</v>
      </c>
      <c r="U26" s="16">
        <v>689072</v>
      </c>
      <c r="V26" s="16">
        <v>5993056</v>
      </c>
      <c r="W26" s="17">
        <v>67.955109375000006</v>
      </c>
      <c r="X26" s="17">
        <v>69.951062499999907</v>
      </c>
      <c r="Y26" s="17">
        <v>29.714649999999999</v>
      </c>
      <c r="Z26" s="17">
        <v>34.343318750000002</v>
      </c>
      <c r="AA26" s="17">
        <v>33.888874999999999</v>
      </c>
      <c r="AB26" s="18">
        <v>497.53</v>
      </c>
      <c r="AC26" s="18">
        <v>454.13099999999997</v>
      </c>
      <c r="AD26" s="18">
        <v>1392.09</v>
      </c>
      <c r="AE26" s="18">
        <v>10.343</v>
      </c>
      <c r="AG26" s="13">
        <f t="shared" si="6"/>
        <v>7.4878799999999996</v>
      </c>
      <c r="AH26" s="14">
        <f t="shared" si="7"/>
        <v>3.1910686744309948E-2</v>
      </c>
      <c r="AI26" s="14">
        <f t="shared" si="8"/>
        <v>7.9737722808558443E-3</v>
      </c>
      <c r="AJ26" s="14">
        <f t="shared" si="9"/>
        <v>5.2207282696994217E-3</v>
      </c>
      <c r="AK26" s="14">
        <f t="shared" si="10"/>
        <v>2.3936914463454109E-2</v>
      </c>
      <c r="AL26" s="11">
        <f t="shared" si="11"/>
        <v>1995792</v>
      </c>
      <c r="AM26" s="14">
        <v>-12</v>
      </c>
      <c r="AN26" s="15"/>
      <c r="AO26" s="15"/>
      <c r="AP26" s="15"/>
      <c r="AQ26" s="16">
        <v>7987072</v>
      </c>
      <c r="AR26" s="16">
        <v>1306720</v>
      </c>
      <c r="AS26" s="16">
        <v>689072</v>
      </c>
      <c r="AT26" s="16">
        <v>5991280</v>
      </c>
      <c r="AU26" s="17">
        <v>67.932906250000002</v>
      </c>
      <c r="AV26" s="17">
        <v>69.879856249999904</v>
      </c>
      <c r="AW26" s="17">
        <v>29.70981875</v>
      </c>
      <c r="AX26" s="17">
        <v>34.345821874999999</v>
      </c>
      <c r="AY26" s="17">
        <v>33.895056249999897</v>
      </c>
      <c r="AZ26" s="18">
        <v>235.34200000000001</v>
      </c>
      <c r="BA26" s="18">
        <v>250.43199999999999</v>
      </c>
      <c r="BB26" s="18">
        <v>926.48400000000004</v>
      </c>
      <c r="BC26" s="18">
        <v>10.359</v>
      </c>
      <c r="BE26" s="43">
        <f t="shared" si="12"/>
        <v>0.9988628992865094</v>
      </c>
      <c r="BF26" s="19" t="e">
        <f t="shared" si="13"/>
        <v>#DIV/0!</v>
      </c>
      <c r="BG26" s="19">
        <f t="shared" si="14"/>
        <v>-1.5773691990145222E-4</v>
      </c>
      <c r="BH26" s="19"/>
      <c r="BJ26" s="43"/>
      <c r="BK26" s="43"/>
      <c r="BL26" s="43"/>
      <c r="BM26" s="43"/>
      <c r="BN26" s="43"/>
      <c r="BP26" s="43"/>
      <c r="BQ26" s="43"/>
      <c r="BR26" s="43"/>
      <c r="BS26" s="43"/>
      <c r="BT26" s="43"/>
      <c r="BV26" s="51">
        <f t="shared" si="27"/>
        <v>0.52697927763149965</v>
      </c>
      <c r="BW26" s="51">
        <f t="shared" si="21"/>
        <v>0.44854678495852518</v>
      </c>
      <c r="BX26" s="51">
        <f t="shared" si="21"/>
        <v>0.33446544404456602</v>
      </c>
      <c r="BY26" s="51">
        <f t="shared" si="16"/>
        <v>0.48776303129501242</v>
      </c>
      <c r="BZ26" s="55"/>
      <c r="CA26" s="51"/>
      <c r="CC26" s="57"/>
    </row>
    <row r="27" spans="1:84" outlineLevel="1" x14ac:dyDescent="0.15">
      <c r="A27" s="46"/>
      <c r="B27" s="46" t="s">
        <v>27</v>
      </c>
      <c r="C27" s="3" t="s">
        <v>146</v>
      </c>
      <c r="D27" s="46">
        <v>250294582</v>
      </c>
      <c r="E27" s="3">
        <v>10</v>
      </c>
      <c r="F27" s="3">
        <v>32</v>
      </c>
      <c r="G27" s="3">
        <v>30</v>
      </c>
      <c r="I27" s="4">
        <f t="shared" si="0"/>
        <v>13.183875</v>
      </c>
      <c r="J27" s="5">
        <f t="shared" si="1"/>
        <v>5.6184995646449909E-2</v>
      </c>
      <c r="K27" s="5">
        <f t="shared" si="2"/>
        <v>1.028832497860461E-2</v>
      </c>
      <c r="L27" s="5">
        <f t="shared" si="3"/>
        <v>7.5352809674481885E-3</v>
      </c>
      <c r="M27" s="5">
        <f t="shared" si="4"/>
        <v>4.58966706678453E-2</v>
      </c>
      <c r="N27" s="46">
        <f t="shared" si="5"/>
        <v>2575112</v>
      </c>
      <c r="O27" s="5">
        <v>-12</v>
      </c>
      <c r="P27" s="6">
        <v>24867879</v>
      </c>
      <c r="Q27" s="6">
        <v>777121.21875</v>
      </c>
      <c r="R27" s="6">
        <v>18587.625</v>
      </c>
      <c r="S27" s="7">
        <v>14062800</v>
      </c>
      <c r="T27" s="7">
        <v>1886040</v>
      </c>
      <c r="U27" s="7">
        <v>689072</v>
      </c>
      <c r="V27" s="7">
        <v>11487688</v>
      </c>
      <c r="W27" s="8">
        <v>69.271965624999893</v>
      </c>
      <c r="X27" s="8">
        <v>71.647043749999995</v>
      </c>
      <c r="Y27" s="8">
        <v>32.215471874999999</v>
      </c>
      <c r="Z27" s="8">
        <v>35.579521874999998</v>
      </c>
      <c r="AA27" s="8">
        <v>35.207475000000002</v>
      </c>
      <c r="AB27" s="9">
        <v>528.10500000000002</v>
      </c>
      <c r="AC27" s="9">
        <v>490.21199999999999</v>
      </c>
      <c r="AD27" s="9">
        <v>1456.08</v>
      </c>
      <c r="AE27" s="9">
        <v>10.327999999999999</v>
      </c>
      <c r="AG27" s="4">
        <f t="shared" si="6"/>
        <v>13.19523</v>
      </c>
      <c r="AH27" s="5">
        <f t="shared" si="7"/>
        <v>5.6233386626003752E-2</v>
      </c>
      <c r="AI27" s="5">
        <f t="shared" si="8"/>
        <v>1.0315652777494001E-2</v>
      </c>
      <c r="AJ27" s="5">
        <f t="shared" si="9"/>
        <v>7.5626087663375786E-3</v>
      </c>
      <c r="AK27" s="5">
        <f t="shared" si="10"/>
        <v>4.5917733848509751E-2</v>
      </c>
      <c r="AL27" s="46">
        <f t="shared" si="11"/>
        <v>2581952</v>
      </c>
      <c r="AM27" s="5">
        <v>-12</v>
      </c>
      <c r="AN27" s="6"/>
      <c r="AO27" s="6"/>
      <c r="AP27" s="6"/>
      <c r="AQ27" s="7">
        <v>14074912</v>
      </c>
      <c r="AR27" s="7">
        <v>1892880</v>
      </c>
      <c r="AS27" s="7">
        <v>689072</v>
      </c>
      <c r="AT27" s="7">
        <v>11492960</v>
      </c>
      <c r="AU27" s="8">
        <v>69.257249999999999</v>
      </c>
      <c r="AV27" s="8">
        <v>71.580028124999998</v>
      </c>
      <c r="AW27" s="8">
        <v>32.213071874999997</v>
      </c>
      <c r="AX27" s="8">
        <v>35.585218749999903</v>
      </c>
      <c r="AY27" s="8">
        <v>35.208174999999898</v>
      </c>
      <c r="AZ27" s="9">
        <v>256.08100000000002</v>
      </c>
      <c r="BA27" s="9">
        <v>287.57600000000002</v>
      </c>
      <c r="BB27" s="9">
        <v>984</v>
      </c>
      <c r="BC27" s="9">
        <v>10.515000000000001</v>
      </c>
      <c r="BE27" s="44">
        <f t="shared" si="12"/>
        <v>1.0026561951480168</v>
      </c>
      <c r="BF27" s="10" t="e">
        <f t="shared" si="13"/>
        <v>#DIV/0!</v>
      </c>
      <c r="BG27" s="10">
        <f t="shared" si="14"/>
        <v>3.283934614921602E-4</v>
      </c>
      <c r="BH27" s="10"/>
      <c r="BJ27" s="44"/>
      <c r="BK27" s="44"/>
      <c r="BL27" s="44"/>
      <c r="BM27" s="44"/>
      <c r="BN27" s="44"/>
      <c r="BP27" s="44"/>
      <c r="BQ27" s="44"/>
      <c r="BR27" s="44"/>
      <c r="BS27" s="44"/>
      <c r="BT27" s="44"/>
      <c r="BV27" s="51">
        <f t="shared" si="27"/>
        <v>0.51509453612444489</v>
      </c>
      <c r="BW27" s="51">
        <f t="shared" si="21"/>
        <v>0.41336401393682726</v>
      </c>
      <c r="BX27" s="51">
        <f t="shared" si="21"/>
        <v>0.32421295533212457</v>
      </c>
      <c r="BY27" s="51">
        <f t="shared" si="16"/>
        <v>0.46422927503063605</v>
      </c>
      <c r="BZ27" s="55"/>
      <c r="CA27" s="51"/>
      <c r="CC27" s="57"/>
    </row>
    <row r="28" spans="1:84" outlineLevel="1" x14ac:dyDescent="0.15">
      <c r="A28" s="11"/>
      <c r="B28" s="11" t="s">
        <v>27</v>
      </c>
      <c r="C28" s="12" t="s">
        <v>147</v>
      </c>
      <c r="D28" s="11">
        <v>250294582</v>
      </c>
      <c r="E28" s="12">
        <v>10</v>
      </c>
      <c r="F28" s="12">
        <v>32</v>
      </c>
      <c r="G28" s="12">
        <v>30</v>
      </c>
      <c r="I28" s="13">
        <f t="shared" si="0"/>
        <v>24.458400000000001</v>
      </c>
      <c r="J28" s="14">
        <f t="shared" si="1"/>
        <v>0.10423301931481681</v>
      </c>
      <c r="K28" s="14">
        <f t="shared" si="2"/>
        <v>1.4138636049261346E-2</v>
      </c>
      <c r="L28" s="14">
        <f t="shared" si="3"/>
        <v>1.1385592038104924E-2</v>
      </c>
      <c r="M28" s="14">
        <f t="shared" si="4"/>
        <v>9.0094383265555467E-2</v>
      </c>
      <c r="N28" s="11">
        <f t="shared" si="5"/>
        <v>3538824</v>
      </c>
      <c r="O28" s="14">
        <v>-12</v>
      </c>
      <c r="P28" s="15">
        <v>25503045</v>
      </c>
      <c r="Q28" s="15">
        <v>796970.15625</v>
      </c>
      <c r="R28" s="15">
        <v>20905.71875</v>
      </c>
      <c r="S28" s="16">
        <v>26088960</v>
      </c>
      <c r="T28" s="16">
        <v>2849752</v>
      </c>
      <c r="U28" s="16">
        <v>689072</v>
      </c>
      <c r="V28" s="16">
        <v>22550136</v>
      </c>
      <c r="W28" s="17">
        <v>70.438771874999901</v>
      </c>
      <c r="X28" s="17">
        <v>72.973003124999906</v>
      </c>
      <c r="Y28" s="17">
        <v>34.905471874999897</v>
      </c>
      <c r="Z28" s="17">
        <v>37.372971874999998</v>
      </c>
      <c r="AA28" s="17">
        <v>36.936059374999999</v>
      </c>
      <c r="AB28" s="18">
        <v>556.94299999999998</v>
      </c>
      <c r="AC28" s="18">
        <v>582.54499999999996</v>
      </c>
      <c r="AD28" s="18">
        <v>1578.13</v>
      </c>
      <c r="AE28" s="18">
        <v>10.359</v>
      </c>
      <c r="AG28" s="13">
        <f t="shared" si="6"/>
        <v>24.483599999999999</v>
      </c>
      <c r="AH28" s="14">
        <f t="shared" si="7"/>
        <v>0.10434041277010143</v>
      </c>
      <c r="AI28" s="14">
        <f t="shared" si="8"/>
        <v>1.4229696749888098E-2</v>
      </c>
      <c r="AJ28" s="14">
        <f t="shared" si="9"/>
        <v>1.1476652738731675E-2</v>
      </c>
      <c r="AK28" s="14">
        <f t="shared" si="10"/>
        <v>9.0110716020213338E-2</v>
      </c>
      <c r="AL28" s="11">
        <f t="shared" si="11"/>
        <v>3561616</v>
      </c>
      <c r="AM28" s="14">
        <v>-12</v>
      </c>
      <c r="AN28" s="15"/>
      <c r="AO28" s="15"/>
      <c r="AP28" s="15"/>
      <c r="AQ28" s="16">
        <v>26115840</v>
      </c>
      <c r="AR28" s="16">
        <v>2872544</v>
      </c>
      <c r="AS28" s="16">
        <v>689072</v>
      </c>
      <c r="AT28" s="16">
        <v>22554224</v>
      </c>
      <c r="AU28" s="17">
        <v>70.400568750000005</v>
      </c>
      <c r="AV28" s="17">
        <v>72.913271875000007</v>
      </c>
      <c r="AW28" s="17">
        <v>34.903749999999903</v>
      </c>
      <c r="AX28" s="17">
        <v>37.373103125</v>
      </c>
      <c r="AY28" s="17">
        <v>36.938440624999998</v>
      </c>
      <c r="AZ28" s="18">
        <v>282.36</v>
      </c>
      <c r="BA28" s="18">
        <v>373.79</v>
      </c>
      <c r="BB28" s="18">
        <v>1095.52</v>
      </c>
      <c r="BC28" s="18">
        <v>10.202999999999999</v>
      </c>
      <c r="BE28" s="43">
        <f t="shared" si="12"/>
        <v>1.0064405576541811</v>
      </c>
      <c r="BF28" s="19" t="e">
        <f t="shared" si="13"/>
        <v>#DIV/0!</v>
      </c>
      <c r="BG28" s="19">
        <f t="shared" si="14"/>
        <v>7.331135346494988E-4</v>
      </c>
      <c r="BH28" s="19"/>
      <c r="BJ28" s="43"/>
      <c r="BK28" s="43"/>
      <c r="BL28" s="43"/>
      <c r="BM28" s="43"/>
      <c r="BN28" s="43"/>
      <c r="BP28" s="43"/>
      <c r="BQ28" s="43"/>
      <c r="BR28" s="43"/>
      <c r="BS28" s="43"/>
      <c r="BT28" s="43"/>
      <c r="BV28" s="51">
        <f t="shared" si="27"/>
        <v>0.49301813650589016</v>
      </c>
      <c r="BW28" s="51">
        <f t="shared" si="21"/>
        <v>0.35834999871254575</v>
      </c>
      <c r="BX28" s="51">
        <f t="shared" si="21"/>
        <v>0.30581130832060738</v>
      </c>
      <c r="BY28" s="51">
        <f t="shared" si="16"/>
        <v>0.42568406760921795</v>
      </c>
      <c r="BZ28" s="55"/>
      <c r="CA28" s="51"/>
      <c r="CC28" s="57"/>
    </row>
    <row r="29" spans="1:84" ht="14.25" outlineLevel="1" thickBot="1" x14ac:dyDescent="0.2">
      <c r="A29" s="20"/>
      <c r="B29" s="20" t="s">
        <v>27</v>
      </c>
      <c r="C29" s="21" t="s">
        <v>148</v>
      </c>
      <c r="D29" s="20">
        <v>250294582</v>
      </c>
      <c r="E29" s="21">
        <v>10</v>
      </c>
      <c r="F29" s="21">
        <v>32</v>
      </c>
      <c r="G29" s="21">
        <v>30</v>
      </c>
      <c r="I29" s="22">
        <f t="shared" si="0"/>
        <v>44.156122500000002</v>
      </c>
      <c r="J29" s="23">
        <f t="shared" si="1"/>
        <v>0.18817772092246088</v>
      </c>
      <c r="K29" s="23">
        <f t="shared" si="2"/>
        <v>2.2856395669004135E-2</v>
      </c>
      <c r="L29" s="23">
        <f t="shared" si="3"/>
        <v>1.7621859669339546E-2</v>
      </c>
      <c r="M29" s="23">
        <f t="shared" si="4"/>
        <v>0.16532132525345675</v>
      </c>
      <c r="N29" s="20">
        <f t="shared" si="5"/>
        <v>5720832</v>
      </c>
      <c r="O29" s="23">
        <v>-12</v>
      </c>
      <c r="P29" s="24">
        <v>24554524</v>
      </c>
      <c r="Q29" s="24">
        <v>767328.875</v>
      </c>
      <c r="R29" s="24">
        <v>9745.3125</v>
      </c>
      <c r="S29" s="25">
        <v>47099864</v>
      </c>
      <c r="T29" s="25">
        <v>4410656</v>
      </c>
      <c r="U29" s="25">
        <v>1310176</v>
      </c>
      <c r="V29" s="25">
        <v>41379032</v>
      </c>
      <c r="W29" s="26">
        <v>71.141515624999997</v>
      </c>
      <c r="X29" s="26">
        <v>74.899956249999903</v>
      </c>
      <c r="Y29" s="26">
        <v>37.334449999999997</v>
      </c>
      <c r="Z29" s="26">
        <v>39.404759374999998</v>
      </c>
      <c r="AA29" s="26">
        <v>38.75755625</v>
      </c>
      <c r="AB29" s="27">
        <v>596.798</v>
      </c>
      <c r="AC29" s="27">
        <v>691.16800000000001</v>
      </c>
      <c r="AD29" s="27">
        <v>1743.5</v>
      </c>
      <c r="AE29" s="27">
        <v>10.561999999999999</v>
      </c>
      <c r="AG29" s="22">
        <f t="shared" si="6"/>
        <v>44.207092500000002</v>
      </c>
      <c r="AH29" s="23">
        <f t="shared" si="7"/>
        <v>0.18839493697070916</v>
      </c>
      <c r="AI29" s="23">
        <f t="shared" si="8"/>
        <v>2.3005180351846368E-2</v>
      </c>
      <c r="AJ29" s="23">
        <f t="shared" si="9"/>
        <v>1.7770644352181782E-2</v>
      </c>
      <c r="AK29" s="23">
        <f t="shared" si="10"/>
        <v>0.16538975661886282</v>
      </c>
      <c r="AL29" s="20">
        <f t="shared" si="11"/>
        <v>5758072</v>
      </c>
      <c r="AM29" s="23">
        <v>-12</v>
      </c>
      <c r="AN29" s="24"/>
      <c r="AO29" s="24"/>
      <c r="AP29" s="24"/>
      <c r="AQ29" s="25">
        <v>47154232</v>
      </c>
      <c r="AR29" s="25">
        <v>4447896</v>
      </c>
      <c r="AS29" s="25">
        <v>1310176</v>
      </c>
      <c r="AT29" s="25">
        <v>41396160</v>
      </c>
      <c r="AU29" s="26">
        <v>71.133131250000005</v>
      </c>
      <c r="AV29" s="26">
        <v>74.844446874999903</v>
      </c>
      <c r="AW29" s="26">
        <v>37.328218749999998</v>
      </c>
      <c r="AX29" s="26">
        <v>39.404112499999997</v>
      </c>
      <c r="AY29" s="26">
        <v>38.757599999999996</v>
      </c>
      <c r="AZ29" s="27">
        <v>320.80500000000001</v>
      </c>
      <c r="BA29" s="27">
        <v>486.774</v>
      </c>
      <c r="BB29" s="27">
        <v>1261.1300000000001</v>
      </c>
      <c r="BC29" s="27">
        <v>10.170999999999999</v>
      </c>
      <c r="BE29" s="28">
        <f t="shared" si="12"/>
        <v>1.0065095426679196</v>
      </c>
      <c r="BF29" s="29" t="e">
        <f t="shared" si="13"/>
        <v>#DIV/0!</v>
      </c>
      <c r="BG29" s="29">
        <f t="shared" si="14"/>
        <v>6.497055761130327E-4</v>
      </c>
      <c r="BH29" s="29"/>
      <c r="BJ29" s="28"/>
      <c r="BK29" s="28"/>
      <c r="BL29" s="28"/>
      <c r="BM29" s="28"/>
      <c r="BN29" s="28"/>
      <c r="BP29" s="28"/>
      <c r="BQ29" s="28"/>
      <c r="BR29" s="28"/>
      <c r="BS29" s="28"/>
      <c r="BT29" s="28"/>
      <c r="BV29" s="51">
        <f t="shared" si="27"/>
        <v>0.46245630849969338</v>
      </c>
      <c r="BW29" s="51">
        <f t="shared" si="21"/>
        <v>0.29572260289828234</v>
      </c>
      <c r="BX29" s="51">
        <f t="shared" si="21"/>
        <v>0.27666762259822192</v>
      </c>
      <c r="BY29" s="51">
        <f t="shared" si="16"/>
        <v>0.37908945569898789</v>
      </c>
      <c r="BZ29" s="55">
        <f t="shared" ref="BZ29:CA29" si="28">AVERAGE(BV25:BV29)</f>
        <v>0.50985324878304938</v>
      </c>
      <c r="CA29" s="51">
        <f t="shared" si="28"/>
        <v>0.39558412571284379</v>
      </c>
      <c r="CB29" s="51">
        <f>AVERAGE(BX25:BX29)</f>
        <v>0.31697564381310989</v>
      </c>
      <c r="CC29" s="58">
        <f>AVERAGE(BY25:BY29)</f>
        <v>0.45271868724794667</v>
      </c>
      <c r="CD29" s="51">
        <f t="shared" ref="CD29:CE29" si="29">(SUM(AB25:AB29)-SUM(AZ25:AZ29))/SUM(AB25:AB29)</f>
        <v>0.50724416279107576</v>
      </c>
      <c r="CE29" s="51">
        <f t="shared" si="29"/>
        <v>0.38475206661328293</v>
      </c>
      <c r="CF29" s="51">
        <f t="shared" ref="CF29" si="30">(SUM(AB25:AC29)-SUM(AZ25:BA29))/SUM(AB25:AC29)</f>
        <v>0.44584858142096861</v>
      </c>
    </row>
    <row r="30" spans="1:84" x14ac:dyDescent="0.15">
      <c r="A30" s="11" t="s">
        <v>150</v>
      </c>
      <c r="B30" s="11" t="s">
        <v>28</v>
      </c>
      <c r="C30" s="12" t="s">
        <v>144</v>
      </c>
      <c r="D30" s="11">
        <v>375422539</v>
      </c>
      <c r="E30" s="12">
        <v>11</v>
      </c>
      <c r="F30" s="12">
        <v>32</v>
      </c>
      <c r="G30" s="12">
        <v>30</v>
      </c>
      <c r="I30" s="13" t="str">
        <f t="shared" si="0"/>
        <v>·</v>
      </c>
      <c r="J30" s="14" t="str">
        <f t="shared" si="1"/>
        <v>·</v>
      </c>
      <c r="K30" s="14" t="str">
        <f t="shared" si="2"/>
        <v>·</v>
      </c>
      <c r="L30" s="14" t="str">
        <f t="shared" si="3"/>
        <v>·</v>
      </c>
      <c r="M30" s="14" t="str">
        <f t="shared" si="4"/>
        <v>·</v>
      </c>
      <c r="N30" s="11" t="str">
        <f t="shared" si="5"/>
        <v/>
      </c>
      <c r="O30" s="14">
        <v>-12</v>
      </c>
      <c r="P30" s="15">
        <v>84256321</v>
      </c>
      <c r="Q30" s="15">
        <v>2633010.03125</v>
      </c>
      <c r="R30" s="15">
        <v>31474.3125</v>
      </c>
      <c r="S30" s="16"/>
      <c r="T30" s="16"/>
      <c r="U30" s="16"/>
      <c r="V30" s="16"/>
      <c r="W30" s="17"/>
      <c r="X30" s="17"/>
      <c r="Y30" s="17"/>
      <c r="Z30" s="17"/>
      <c r="AA30" s="17"/>
      <c r="AB30" s="18"/>
      <c r="AC30" s="18"/>
      <c r="AD30" s="18"/>
      <c r="AE30" s="18"/>
      <c r="AG30" s="13" t="str">
        <f t="shared" si="6"/>
        <v>·</v>
      </c>
      <c r="AH30" s="14" t="str">
        <f t="shared" si="7"/>
        <v>·</v>
      </c>
      <c r="AI30" s="14" t="str">
        <f t="shared" si="8"/>
        <v>·</v>
      </c>
      <c r="AJ30" s="14" t="str">
        <f t="shared" si="9"/>
        <v>·</v>
      </c>
      <c r="AK30" s="14" t="str">
        <f t="shared" si="10"/>
        <v>·</v>
      </c>
      <c r="AL30" s="11" t="str">
        <f t="shared" si="11"/>
        <v/>
      </c>
      <c r="AM30" s="14">
        <v>-12</v>
      </c>
      <c r="AN30" s="15"/>
      <c r="AO30" s="15"/>
      <c r="AP30" s="15"/>
      <c r="AQ30" s="16"/>
      <c r="AR30" s="16"/>
      <c r="AS30" s="16"/>
      <c r="AT30" s="16"/>
      <c r="AU30" s="17"/>
      <c r="AV30" s="17"/>
      <c r="AW30" s="17"/>
      <c r="AX30" s="17"/>
      <c r="AY30" s="17"/>
      <c r="AZ30" s="18"/>
      <c r="BA30" s="18"/>
      <c r="BB30" s="18"/>
      <c r="BC30" s="18"/>
      <c r="BE30" s="43" t="e">
        <f t="shared" si="12"/>
        <v>#VALUE!</v>
      </c>
      <c r="BF30" s="19" t="e">
        <f t="shared" si="13"/>
        <v>#DIV/0!</v>
      </c>
      <c r="BG30" s="19" t="e">
        <f t="shared" si="14"/>
        <v>#VALUE!</v>
      </c>
      <c r="BH30" s="19" t="e">
        <f t="array" ref="BH30">AVERAGE(AL30:AL34/AQ30:AQ34) - AVERAGE(N30:N34/S30:S34)</f>
        <v>#VALUE!</v>
      </c>
      <c r="BJ30" s="43" t="str">
        <f>IF( OR(ISBLANK(N30:N34),ISBLANK(AL30:AL34), ISBLANK(W30:W34),ISBLANK(AU30:AU34)), "·", bdRateExtend( N30:N34,W30:W34, AL30:AL34,AU30:AU34))</f>
        <v>·</v>
      </c>
      <c r="BK30" s="43" t="str">
        <f>IF( OR(ISBLANK(N30:N34),ISBLANK(AL30:AL34), ISBLANK(X30:X34),ISBLANK(AV30:AV34)), "·", bdRateExtend( N30:N34,X30:X34, AL30:AL34,AV30:AV34))</f>
        <v>·</v>
      </c>
      <c r="BL30" s="43" t="str">
        <f>IF( OR(ISBLANK(V30:V34),ISBLANK(AT30:AT34), ISBLANK(Y30:Y34),ISBLANK(AW30:AW34)), "·", bdRateExtend( V30:V34,Y30:Y34, AT30:AT34,AW30:AW34))</f>
        <v>·</v>
      </c>
      <c r="BM30" s="43" t="str">
        <f>IF( OR(ISBLANK(V30:V34),ISBLANK(AT30:AT34), ISBLANK(Z30:Z34),ISBLANK(AX30:AX34)), "·", bdRateExtend( V30:V34,Z30:Z34, AT30:AT34,AX30:AX34))</f>
        <v>·</v>
      </c>
      <c r="BN30" s="43" t="str">
        <f>IF( OR(ISBLANK(V30:V34),ISBLANK(AT30:AT34), ISBLANK(AA30:AA34),ISBLANK(AY30:AY34)), "·", bdRateExtend( V30:V34,AA30:AA34, AT30:AT34,AY30:AY34))</f>
        <v>·</v>
      </c>
      <c r="BP30" s="43" t="str">
        <f>IF( OR(ISBLANK(S30:S34),ISBLANK(AQ30:AQ34), ISBLANK(W30:W34),ISBLANK(AU30:AU34)), "·", bdRateExtend( S30:S34,W30:W34, AQ30:AQ34,AU30:AU34))</f>
        <v>·</v>
      </c>
      <c r="BQ30" s="43" t="str">
        <f>IF( OR(ISBLANK(S30:S34),ISBLANK(AQ30:AQ34), ISBLANK(X30:X34),ISBLANK(AV30:AV34)), "·", bdRateExtend( S30:S34,X30:X34, AQ30:AQ34,AV30:AV34))</f>
        <v>·</v>
      </c>
      <c r="BR30" s="43" t="str">
        <f>IF( OR(ISBLANK(S30:S34),ISBLANK(AQ30:AQ34), ISBLANK(Y30:Y34),ISBLANK(AW30:AW34)), "·", bdRateExtend( S30:S34,Y30:Y34, AQ30:AQ34,AW30:AW34))</f>
        <v>·</v>
      </c>
      <c r="BS30" s="43" t="str">
        <f>IF( OR(ISBLANK(S30:S34),ISBLANK(AQ30:AQ34), ISBLANK(Z30:Z34),ISBLANK(AX30:AX34)), "·", bdRateExtend( S30:S34,Z30:Z34, AQ30:AQ34,AX30:AX34))</f>
        <v>·</v>
      </c>
      <c r="BT30" s="43" t="str">
        <f>IF( OR(ISBLANK(S30:S34),ISBLANK(AQ30:AQ34), ISBLANK(AA30:AA34),ISBLANK(AY30:AY34)), "·", bdRateExtend( S30:S34,AA30:AA34, AQ30:AQ34,AY30:AY34))</f>
        <v>·</v>
      </c>
      <c r="BV30" s="51" t="e">
        <f t="shared" si="27"/>
        <v>#DIV/0!</v>
      </c>
      <c r="BW30" s="51" t="e">
        <f t="shared" si="27"/>
        <v>#DIV/0!</v>
      </c>
      <c r="BX30" s="51" t="e">
        <f t="shared" si="27"/>
        <v>#DIV/0!</v>
      </c>
      <c r="BY30" s="51" t="e">
        <f t="shared" si="16"/>
        <v>#DIV/0!</v>
      </c>
      <c r="BZ30" s="55"/>
      <c r="CA30" s="51"/>
      <c r="CC30" s="57"/>
    </row>
    <row r="31" spans="1:84" outlineLevel="1" x14ac:dyDescent="0.15">
      <c r="A31" s="46"/>
      <c r="B31" s="46" t="s">
        <v>28</v>
      </c>
      <c r="C31" s="3" t="s">
        <v>145</v>
      </c>
      <c r="D31" s="46">
        <v>375422539</v>
      </c>
      <c r="E31" s="3">
        <v>11</v>
      </c>
      <c r="F31" s="3">
        <v>32</v>
      </c>
      <c r="G31" s="3">
        <v>30</v>
      </c>
      <c r="I31" s="4" t="str">
        <f t="shared" si="0"/>
        <v>·</v>
      </c>
      <c r="J31" s="5" t="str">
        <f t="shared" si="1"/>
        <v>·</v>
      </c>
      <c r="K31" s="5" t="str">
        <f t="shared" si="2"/>
        <v>·</v>
      </c>
      <c r="L31" s="5" t="str">
        <f t="shared" si="3"/>
        <v>·</v>
      </c>
      <c r="M31" s="5" t="str">
        <f t="shared" si="4"/>
        <v>·</v>
      </c>
      <c r="N31" s="46" t="str">
        <f t="shared" si="5"/>
        <v/>
      </c>
      <c r="O31" s="5">
        <v>-12</v>
      </c>
      <c r="P31" s="6">
        <v>89796795</v>
      </c>
      <c r="Q31" s="6">
        <v>2806149.84375</v>
      </c>
      <c r="R31" s="6">
        <v>39729</v>
      </c>
      <c r="S31" s="7"/>
      <c r="T31" s="7"/>
      <c r="U31" s="7"/>
      <c r="V31" s="7"/>
      <c r="W31" s="8"/>
      <c r="X31" s="8"/>
      <c r="Y31" s="8"/>
      <c r="Z31" s="8"/>
      <c r="AA31" s="8"/>
      <c r="AB31" s="9"/>
      <c r="AC31" s="9"/>
      <c r="AD31" s="9"/>
      <c r="AE31" s="9"/>
      <c r="AG31" s="4" t="str">
        <f t="shared" si="6"/>
        <v>·</v>
      </c>
      <c r="AH31" s="5" t="str">
        <f t="shared" si="7"/>
        <v>·</v>
      </c>
      <c r="AI31" s="5" t="str">
        <f t="shared" si="8"/>
        <v>·</v>
      </c>
      <c r="AJ31" s="5" t="str">
        <f t="shared" si="9"/>
        <v>·</v>
      </c>
      <c r="AK31" s="5" t="str">
        <f t="shared" si="10"/>
        <v>·</v>
      </c>
      <c r="AL31" s="46" t="str">
        <f t="shared" si="11"/>
        <v/>
      </c>
      <c r="AM31" s="5">
        <v>-12</v>
      </c>
      <c r="AN31" s="6"/>
      <c r="AO31" s="6"/>
      <c r="AP31" s="6"/>
      <c r="AQ31" s="7"/>
      <c r="AR31" s="7"/>
      <c r="AS31" s="7"/>
      <c r="AT31" s="7"/>
      <c r="AU31" s="8"/>
      <c r="AV31" s="8"/>
      <c r="AW31" s="8"/>
      <c r="AX31" s="8"/>
      <c r="AY31" s="8"/>
      <c r="AZ31" s="9"/>
      <c r="BA31" s="9"/>
      <c r="BB31" s="9"/>
      <c r="BC31" s="9"/>
      <c r="BE31" s="44" t="e">
        <f t="shared" si="12"/>
        <v>#VALUE!</v>
      </c>
      <c r="BF31" s="10" t="e">
        <f t="shared" si="13"/>
        <v>#DIV/0!</v>
      </c>
      <c r="BG31" s="10" t="e">
        <f t="shared" si="14"/>
        <v>#VALUE!</v>
      </c>
      <c r="BH31" s="10"/>
      <c r="BJ31" s="44"/>
      <c r="BK31" s="44"/>
      <c r="BL31" s="44"/>
      <c r="BM31" s="44"/>
      <c r="BN31" s="44"/>
      <c r="BP31" s="44"/>
      <c r="BQ31" s="44"/>
      <c r="BR31" s="44"/>
      <c r="BS31" s="44"/>
      <c r="BT31" s="44"/>
      <c r="BV31" s="51" t="e">
        <f t="shared" si="27"/>
        <v>#DIV/0!</v>
      </c>
      <c r="BW31" s="51" t="e">
        <f t="shared" si="27"/>
        <v>#DIV/0!</v>
      </c>
      <c r="BX31" s="51" t="e">
        <f t="shared" si="27"/>
        <v>#DIV/0!</v>
      </c>
      <c r="BY31" s="51" t="e">
        <f t="shared" si="16"/>
        <v>#DIV/0!</v>
      </c>
      <c r="BZ31" s="55"/>
      <c r="CA31" s="51"/>
      <c r="CC31" s="57"/>
    </row>
    <row r="32" spans="1:84" outlineLevel="1" x14ac:dyDescent="0.15">
      <c r="A32" s="11"/>
      <c r="B32" s="11" t="s">
        <v>28</v>
      </c>
      <c r="C32" s="12" t="s">
        <v>146</v>
      </c>
      <c r="D32" s="11">
        <v>375422539</v>
      </c>
      <c r="E32" s="12">
        <v>11</v>
      </c>
      <c r="F32" s="12">
        <v>32</v>
      </c>
      <c r="G32" s="12">
        <v>30</v>
      </c>
      <c r="I32" s="13" t="str">
        <f t="shared" si="0"/>
        <v>·</v>
      </c>
      <c r="J32" s="14" t="str">
        <f t="shared" si="1"/>
        <v>·</v>
      </c>
      <c r="K32" s="14" t="str">
        <f t="shared" si="2"/>
        <v>·</v>
      </c>
      <c r="L32" s="14" t="str">
        <f t="shared" si="3"/>
        <v>·</v>
      </c>
      <c r="M32" s="14" t="str">
        <f t="shared" si="4"/>
        <v>·</v>
      </c>
      <c r="N32" s="11" t="str">
        <f t="shared" si="5"/>
        <v/>
      </c>
      <c r="O32" s="14">
        <v>-12</v>
      </c>
      <c r="P32" s="15">
        <v>91551049</v>
      </c>
      <c r="Q32" s="15">
        <v>2860970.28125</v>
      </c>
      <c r="R32" s="15">
        <v>42562.1875</v>
      </c>
      <c r="S32" s="16"/>
      <c r="T32" s="16"/>
      <c r="U32" s="16"/>
      <c r="V32" s="16"/>
      <c r="W32" s="17"/>
      <c r="X32" s="17"/>
      <c r="Y32" s="17"/>
      <c r="Z32" s="17"/>
      <c r="AA32" s="17"/>
      <c r="AB32" s="18"/>
      <c r="AC32" s="18"/>
      <c r="AD32" s="18"/>
      <c r="AE32" s="18"/>
      <c r="AG32" s="13" t="str">
        <f t="shared" si="6"/>
        <v>·</v>
      </c>
      <c r="AH32" s="14" t="str">
        <f t="shared" si="7"/>
        <v>·</v>
      </c>
      <c r="AI32" s="14" t="str">
        <f t="shared" si="8"/>
        <v>·</v>
      </c>
      <c r="AJ32" s="14" t="str">
        <f t="shared" si="9"/>
        <v>·</v>
      </c>
      <c r="AK32" s="14" t="str">
        <f t="shared" si="10"/>
        <v>·</v>
      </c>
      <c r="AL32" s="11" t="str">
        <f t="shared" si="11"/>
        <v/>
      </c>
      <c r="AM32" s="14">
        <v>-12</v>
      </c>
      <c r="AN32" s="15"/>
      <c r="AO32" s="15"/>
      <c r="AP32" s="15"/>
      <c r="AQ32" s="16"/>
      <c r="AR32" s="16"/>
      <c r="AS32" s="16"/>
      <c r="AT32" s="16"/>
      <c r="AU32" s="17"/>
      <c r="AV32" s="17"/>
      <c r="AW32" s="17"/>
      <c r="AX32" s="17"/>
      <c r="AY32" s="17"/>
      <c r="AZ32" s="18"/>
      <c r="BA32" s="18"/>
      <c r="BB32" s="18"/>
      <c r="BC32" s="18"/>
      <c r="BE32" s="43" t="e">
        <f t="shared" si="12"/>
        <v>#VALUE!</v>
      </c>
      <c r="BF32" s="19" t="e">
        <f t="shared" si="13"/>
        <v>#DIV/0!</v>
      </c>
      <c r="BG32" s="19" t="e">
        <f t="shared" si="14"/>
        <v>#VALUE!</v>
      </c>
      <c r="BH32" s="19"/>
      <c r="BJ32" s="43"/>
      <c r="BK32" s="43"/>
      <c r="BL32" s="43"/>
      <c r="BM32" s="43"/>
      <c r="BN32" s="43"/>
      <c r="BP32" s="43"/>
      <c r="BQ32" s="43"/>
      <c r="BR32" s="43"/>
      <c r="BS32" s="43"/>
      <c r="BT32" s="43"/>
      <c r="BV32" s="51" t="e">
        <f t="shared" si="27"/>
        <v>#DIV/0!</v>
      </c>
      <c r="BW32" s="51" t="e">
        <f t="shared" si="27"/>
        <v>#DIV/0!</v>
      </c>
      <c r="BX32" s="51" t="e">
        <f t="shared" si="27"/>
        <v>#DIV/0!</v>
      </c>
      <c r="BY32" s="51" t="e">
        <f t="shared" si="16"/>
        <v>#DIV/0!</v>
      </c>
      <c r="BZ32" s="55"/>
      <c r="CA32" s="51"/>
      <c r="CC32" s="57"/>
    </row>
    <row r="33" spans="1:81" outlineLevel="1" x14ac:dyDescent="0.15">
      <c r="A33" s="46"/>
      <c r="B33" s="46" t="s">
        <v>28</v>
      </c>
      <c r="C33" s="3" t="s">
        <v>147</v>
      </c>
      <c r="D33" s="46">
        <v>375422539</v>
      </c>
      <c r="E33" s="3">
        <v>11</v>
      </c>
      <c r="F33" s="3">
        <v>32</v>
      </c>
      <c r="G33" s="3">
        <v>30</v>
      </c>
      <c r="I33" s="4" t="str">
        <f t="shared" si="0"/>
        <v>·</v>
      </c>
      <c r="J33" s="5" t="str">
        <f t="shared" si="1"/>
        <v>·</v>
      </c>
      <c r="K33" s="5" t="str">
        <f t="shared" si="2"/>
        <v>·</v>
      </c>
      <c r="L33" s="5" t="str">
        <f t="shared" si="3"/>
        <v>·</v>
      </c>
      <c r="M33" s="5" t="str">
        <f t="shared" si="4"/>
        <v>·</v>
      </c>
      <c r="N33" s="46" t="str">
        <f t="shared" si="5"/>
        <v/>
      </c>
      <c r="O33" s="5">
        <v>-12</v>
      </c>
      <c r="P33" s="6">
        <v>93835548</v>
      </c>
      <c r="Q33" s="6">
        <v>2932360.875</v>
      </c>
      <c r="R33" s="6">
        <v>47386.6875</v>
      </c>
      <c r="S33" s="7"/>
      <c r="T33" s="7"/>
      <c r="U33" s="7"/>
      <c r="V33" s="7"/>
      <c r="W33" s="8"/>
      <c r="X33" s="8"/>
      <c r="Y33" s="8"/>
      <c r="Z33" s="8"/>
      <c r="AA33" s="8"/>
      <c r="AB33" s="9"/>
      <c r="AC33" s="9"/>
      <c r="AD33" s="9"/>
      <c r="AE33" s="9"/>
      <c r="AG33" s="4" t="str">
        <f t="shared" si="6"/>
        <v>·</v>
      </c>
      <c r="AH33" s="5" t="str">
        <f t="shared" si="7"/>
        <v>·</v>
      </c>
      <c r="AI33" s="5" t="str">
        <f t="shared" si="8"/>
        <v>·</v>
      </c>
      <c r="AJ33" s="5" t="str">
        <f t="shared" si="9"/>
        <v>·</v>
      </c>
      <c r="AK33" s="5" t="str">
        <f t="shared" si="10"/>
        <v>·</v>
      </c>
      <c r="AL33" s="46" t="str">
        <f t="shared" si="11"/>
        <v/>
      </c>
      <c r="AM33" s="5">
        <v>-12</v>
      </c>
      <c r="AN33" s="6"/>
      <c r="AO33" s="6"/>
      <c r="AP33" s="6"/>
      <c r="AQ33" s="7"/>
      <c r="AR33" s="7"/>
      <c r="AS33" s="7"/>
      <c r="AT33" s="7"/>
      <c r="AU33" s="8"/>
      <c r="AV33" s="8"/>
      <c r="AW33" s="8"/>
      <c r="AX33" s="8"/>
      <c r="AY33" s="8"/>
      <c r="AZ33" s="9"/>
      <c r="BA33" s="9"/>
      <c r="BB33" s="9"/>
      <c r="BC33" s="9"/>
      <c r="BE33" s="44" t="e">
        <f t="shared" si="12"/>
        <v>#VALUE!</v>
      </c>
      <c r="BF33" s="10" t="e">
        <f t="shared" si="13"/>
        <v>#DIV/0!</v>
      </c>
      <c r="BG33" s="10" t="e">
        <f t="shared" si="14"/>
        <v>#VALUE!</v>
      </c>
      <c r="BH33" s="10"/>
      <c r="BJ33" s="44"/>
      <c r="BK33" s="44"/>
      <c r="BL33" s="44"/>
      <c r="BM33" s="44"/>
      <c r="BN33" s="44"/>
      <c r="BP33" s="44"/>
      <c r="BQ33" s="44"/>
      <c r="BR33" s="44"/>
      <c r="BS33" s="44"/>
      <c r="BT33" s="44"/>
      <c r="BV33" s="51" t="e">
        <f t="shared" si="27"/>
        <v>#DIV/0!</v>
      </c>
      <c r="BW33" s="51" t="e">
        <f t="shared" si="27"/>
        <v>#DIV/0!</v>
      </c>
      <c r="BX33" s="51" t="e">
        <f t="shared" si="27"/>
        <v>#DIV/0!</v>
      </c>
      <c r="BY33" s="51" t="e">
        <f t="shared" si="16"/>
        <v>#DIV/0!</v>
      </c>
      <c r="BZ33" s="55"/>
      <c r="CA33" s="51"/>
      <c r="CC33" s="57"/>
    </row>
    <row r="34" spans="1:81" ht="14.25" outlineLevel="1" thickBot="1" x14ac:dyDescent="0.2">
      <c r="A34" s="11"/>
      <c r="B34" s="30" t="s">
        <v>28</v>
      </c>
      <c r="C34" s="31" t="s">
        <v>148</v>
      </c>
      <c r="D34" s="30">
        <v>375422539</v>
      </c>
      <c r="E34" s="31">
        <v>11</v>
      </c>
      <c r="F34" s="31">
        <v>32</v>
      </c>
      <c r="G34" s="31">
        <v>30</v>
      </c>
      <c r="I34" s="32" t="str">
        <f t="shared" si="0"/>
        <v>·</v>
      </c>
      <c r="J34" s="33" t="str">
        <f t="shared" si="1"/>
        <v>·</v>
      </c>
      <c r="K34" s="33" t="str">
        <f t="shared" si="2"/>
        <v>·</v>
      </c>
      <c r="L34" s="33" t="str">
        <f t="shared" si="3"/>
        <v>·</v>
      </c>
      <c r="M34" s="33" t="str">
        <f t="shared" si="4"/>
        <v>·</v>
      </c>
      <c r="N34" s="30" t="str">
        <f t="shared" si="5"/>
        <v/>
      </c>
      <c r="O34" s="33">
        <v>-12</v>
      </c>
      <c r="P34" s="34">
        <v>91937439</v>
      </c>
      <c r="Q34" s="34">
        <v>2873044.96875</v>
      </c>
      <c r="R34" s="34">
        <v>18769.40625</v>
      </c>
      <c r="S34" s="35"/>
      <c r="T34" s="35"/>
      <c r="U34" s="35"/>
      <c r="V34" s="35"/>
      <c r="W34" s="36"/>
      <c r="X34" s="36"/>
      <c r="Y34" s="36"/>
      <c r="Z34" s="36"/>
      <c r="AA34" s="36"/>
      <c r="AB34" s="37"/>
      <c r="AC34" s="37"/>
      <c r="AD34" s="37"/>
      <c r="AE34" s="37"/>
      <c r="AG34" s="32" t="str">
        <f t="shared" si="6"/>
        <v>·</v>
      </c>
      <c r="AH34" s="33" t="str">
        <f t="shared" si="7"/>
        <v>·</v>
      </c>
      <c r="AI34" s="33" t="str">
        <f t="shared" si="8"/>
        <v>·</v>
      </c>
      <c r="AJ34" s="33" t="str">
        <f t="shared" si="9"/>
        <v>·</v>
      </c>
      <c r="AK34" s="33" t="str">
        <f t="shared" si="10"/>
        <v>·</v>
      </c>
      <c r="AL34" s="30" t="str">
        <f t="shared" si="11"/>
        <v/>
      </c>
      <c r="AM34" s="33">
        <v>-12</v>
      </c>
      <c r="AN34" s="34"/>
      <c r="AO34" s="34"/>
      <c r="AP34" s="34"/>
      <c r="AQ34" s="35"/>
      <c r="AR34" s="35"/>
      <c r="AS34" s="35"/>
      <c r="AT34" s="35"/>
      <c r="AU34" s="36"/>
      <c r="AV34" s="36"/>
      <c r="AW34" s="36"/>
      <c r="AX34" s="36"/>
      <c r="AY34" s="36"/>
      <c r="AZ34" s="37"/>
      <c r="BA34" s="37"/>
      <c r="BB34" s="37"/>
      <c r="BC34" s="37"/>
      <c r="BE34" s="38" t="e">
        <f t="shared" si="12"/>
        <v>#VALUE!</v>
      </c>
      <c r="BF34" s="39" t="e">
        <f t="shared" si="13"/>
        <v>#DIV/0!</v>
      </c>
      <c r="BG34" s="39" t="e">
        <f t="shared" si="14"/>
        <v>#VALUE!</v>
      </c>
      <c r="BH34" s="39"/>
      <c r="BJ34" s="38"/>
      <c r="BK34" s="38"/>
      <c r="BL34" s="38"/>
      <c r="BM34" s="38"/>
      <c r="BN34" s="38"/>
      <c r="BP34" s="38"/>
      <c r="BQ34" s="38"/>
      <c r="BR34" s="38"/>
      <c r="BS34" s="38"/>
      <c r="BT34" s="38"/>
      <c r="BV34" s="51" t="e">
        <f t="shared" si="27"/>
        <v>#DIV/0!</v>
      </c>
      <c r="BW34" s="51" t="e">
        <f t="shared" si="27"/>
        <v>#DIV/0!</v>
      </c>
      <c r="BX34" s="51" t="e">
        <f t="shared" si="27"/>
        <v>#DIV/0!</v>
      </c>
      <c r="BY34" s="51" t="e">
        <f t="shared" si="16"/>
        <v>#DIV/0!</v>
      </c>
      <c r="BZ34" s="55"/>
      <c r="CA34" s="51"/>
      <c r="CC34" s="57"/>
    </row>
    <row r="35" spans="1:81" x14ac:dyDescent="0.15">
      <c r="A35" s="46"/>
      <c r="B35" s="46" t="s">
        <v>29</v>
      </c>
      <c r="C35" s="3" t="s">
        <v>144</v>
      </c>
      <c r="D35" s="46">
        <v>333190689</v>
      </c>
      <c r="E35" s="3">
        <v>11</v>
      </c>
      <c r="F35" s="3">
        <v>32</v>
      </c>
      <c r="G35" s="3">
        <v>30</v>
      </c>
      <c r="I35" s="4" t="str">
        <f t="shared" si="0"/>
        <v>·</v>
      </c>
      <c r="J35" s="5" t="str">
        <f t="shared" si="1"/>
        <v>·</v>
      </c>
      <c r="K35" s="5" t="str">
        <f t="shared" si="2"/>
        <v>·</v>
      </c>
      <c r="L35" s="5" t="str">
        <f t="shared" si="3"/>
        <v>·</v>
      </c>
      <c r="M35" s="5" t="str">
        <f t="shared" si="4"/>
        <v>·</v>
      </c>
      <c r="N35" s="46" t="str">
        <f t="shared" si="5"/>
        <v/>
      </c>
      <c r="O35" s="5">
        <v>-12</v>
      </c>
      <c r="P35" s="6">
        <v>74921620</v>
      </c>
      <c r="Q35" s="6">
        <v>2341300.625</v>
      </c>
      <c r="R35" s="6">
        <v>30932.375</v>
      </c>
      <c r="S35" s="7"/>
      <c r="T35" s="7"/>
      <c r="U35" s="7"/>
      <c r="V35" s="7"/>
      <c r="W35" s="8"/>
      <c r="X35" s="8"/>
      <c r="Y35" s="8"/>
      <c r="Z35" s="8"/>
      <c r="AA35" s="8"/>
      <c r="AB35" s="9"/>
      <c r="AC35" s="9"/>
      <c r="AD35" s="9"/>
      <c r="AE35" s="9"/>
      <c r="AG35" s="4" t="str">
        <f t="shared" si="6"/>
        <v>·</v>
      </c>
      <c r="AH35" s="5" t="str">
        <f t="shared" si="7"/>
        <v>·</v>
      </c>
      <c r="AI35" s="5" t="str">
        <f t="shared" si="8"/>
        <v>·</v>
      </c>
      <c r="AJ35" s="5" t="str">
        <f t="shared" si="9"/>
        <v>·</v>
      </c>
      <c r="AK35" s="5" t="str">
        <f t="shared" si="10"/>
        <v>·</v>
      </c>
      <c r="AL35" s="46" t="str">
        <f t="shared" si="11"/>
        <v/>
      </c>
      <c r="AM35" s="5">
        <v>-12</v>
      </c>
      <c r="AN35" s="6"/>
      <c r="AO35" s="6"/>
      <c r="AP35" s="6"/>
      <c r="AQ35" s="7"/>
      <c r="AR35" s="7"/>
      <c r="AS35" s="7"/>
      <c r="AT35" s="7"/>
      <c r="AU35" s="8"/>
      <c r="AV35" s="8"/>
      <c r="AW35" s="8"/>
      <c r="AX35" s="8"/>
      <c r="AY35" s="8"/>
      <c r="AZ35" s="9"/>
      <c r="BA35" s="9"/>
      <c r="BB35" s="9"/>
      <c r="BC35" s="9"/>
      <c r="BE35" s="44" t="e">
        <f t="shared" si="12"/>
        <v>#VALUE!</v>
      </c>
      <c r="BF35" s="10" t="e">
        <f t="shared" si="13"/>
        <v>#DIV/0!</v>
      </c>
      <c r="BG35" s="10" t="e">
        <f t="shared" si="14"/>
        <v>#VALUE!</v>
      </c>
      <c r="BH35" s="10" t="e">
        <f t="array" ref="BH35">AVERAGE(AL35:AL39/AQ35:AQ39) - AVERAGE(N35:N39/S35:S39)</f>
        <v>#VALUE!</v>
      </c>
      <c r="BJ35" s="44" t="str">
        <f>IF( OR(ISBLANK(N35:N39),ISBLANK(AL35:AL39), ISBLANK(W35:W39),ISBLANK(AU35:AU39)), "·", bdRateExtend( N35:N39,W35:W39, AL35:AL39,AU35:AU39))</f>
        <v>·</v>
      </c>
      <c r="BK35" s="44" t="str">
        <f>IF( OR(ISBLANK(N35:N39),ISBLANK(AL35:AL39), ISBLANK(X35:X39),ISBLANK(AV35:AV39)), "·", bdRateExtend( N35:N39,X35:X39, AL35:AL39,AV35:AV39))</f>
        <v>·</v>
      </c>
      <c r="BL35" s="44" t="str">
        <f>IF( OR(ISBLANK(V35:V39),ISBLANK(AT35:AT39), ISBLANK(Y35:Y39),ISBLANK(AW35:AW39)), "·", bdRateExtend( V35:V39,Y35:Y39, AT35:AT39,AW35:AW39))</f>
        <v>·</v>
      </c>
      <c r="BM35" s="44" t="str">
        <f>IF( OR(ISBLANK(V35:V39),ISBLANK(AT35:AT39), ISBLANK(Z35:Z39),ISBLANK(AX35:AX39)), "·", bdRateExtend( V35:V39,Z35:Z39, AT35:AT39,AX35:AX39))</f>
        <v>·</v>
      </c>
      <c r="BN35" s="44" t="str">
        <f>IF( OR(ISBLANK(V35:V39),ISBLANK(AT35:AT39), ISBLANK(AA35:AA39),ISBLANK(AY35:AY39)), "·", bdRateExtend( V35:V39,AA35:AA39, AT35:AT39,AY35:AY39))</f>
        <v>·</v>
      </c>
      <c r="BP35" s="44" t="str">
        <f>IF( OR(ISBLANK(S35:S39),ISBLANK(AQ35:AQ39), ISBLANK(W35:W39),ISBLANK(AU35:AU39)), "·", bdRateExtend( S35:S39,W35:W39, AQ35:AQ39,AU35:AU39))</f>
        <v>·</v>
      </c>
      <c r="BQ35" s="44" t="str">
        <f>IF( OR(ISBLANK(S35:S39),ISBLANK(AQ35:AQ39), ISBLANK(X35:X39),ISBLANK(AV35:AV39)), "·", bdRateExtend( S35:S39,X35:X39, AQ35:AQ39,AV35:AV39))</f>
        <v>·</v>
      </c>
      <c r="BR35" s="44" t="str">
        <f>IF( OR(ISBLANK(S35:S39),ISBLANK(AQ35:AQ39), ISBLANK(Y35:Y39),ISBLANK(AW35:AW39)), "·", bdRateExtend( S35:S39,Y35:Y39, AQ35:AQ39,AW35:AW39))</f>
        <v>·</v>
      </c>
      <c r="BS35" s="44" t="str">
        <f>IF( OR(ISBLANK(S35:S39),ISBLANK(AQ35:AQ39), ISBLANK(Z35:Z39),ISBLANK(AX35:AX39)), "·", bdRateExtend( S35:S39,Z35:Z39, AQ35:AQ39,AX35:AX39))</f>
        <v>·</v>
      </c>
      <c r="BT35" s="44" t="str">
        <f>IF( OR(ISBLANK(S35:S39),ISBLANK(AQ35:AQ39), ISBLANK(AA35:AA39),ISBLANK(AY35:AY39)), "·", bdRateExtend( S35:S39,AA35:AA39, AQ35:AQ39,AY35:AY39))</f>
        <v>·</v>
      </c>
      <c r="BV35" s="51" t="e">
        <f t="shared" si="27"/>
        <v>#DIV/0!</v>
      </c>
      <c r="BW35" s="51" t="e">
        <f t="shared" si="27"/>
        <v>#DIV/0!</v>
      </c>
      <c r="BX35" s="51" t="e">
        <f t="shared" si="27"/>
        <v>#DIV/0!</v>
      </c>
      <c r="BY35" s="51" t="e">
        <f t="shared" si="16"/>
        <v>#DIV/0!</v>
      </c>
      <c r="BZ35" s="55"/>
      <c r="CA35" s="51"/>
      <c r="CC35" s="57"/>
    </row>
    <row r="36" spans="1:81" outlineLevel="1" x14ac:dyDescent="0.15">
      <c r="A36" s="11"/>
      <c r="B36" s="11" t="s">
        <v>29</v>
      </c>
      <c r="C36" s="12" t="s">
        <v>145</v>
      </c>
      <c r="D36" s="11">
        <v>333190689</v>
      </c>
      <c r="E36" s="12">
        <v>11</v>
      </c>
      <c r="F36" s="12">
        <v>32</v>
      </c>
      <c r="G36" s="12">
        <v>30</v>
      </c>
      <c r="I36" s="13" t="str">
        <f t="shared" si="0"/>
        <v>·</v>
      </c>
      <c r="J36" s="14" t="str">
        <f t="shared" si="1"/>
        <v>·</v>
      </c>
      <c r="K36" s="14" t="str">
        <f t="shared" si="2"/>
        <v>·</v>
      </c>
      <c r="L36" s="14" t="str">
        <f t="shared" si="3"/>
        <v>·</v>
      </c>
      <c r="M36" s="14" t="str">
        <f t="shared" si="4"/>
        <v>·</v>
      </c>
      <c r="N36" s="11" t="str">
        <f t="shared" si="5"/>
        <v/>
      </c>
      <c r="O36" s="14">
        <v>-12</v>
      </c>
      <c r="P36" s="15">
        <v>79893061</v>
      </c>
      <c r="Q36" s="15">
        <v>2496658.15625</v>
      </c>
      <c r="R36" s="15">
        <v>39014.28125</v>
      </c>
      <c r="S36" s="16"/>
      <c r="T36" s="16"/>
      <c r="U36" s="16"/>
      <c r="V36" s="16"/>
      <c r="W36" s="17"/>
      <c r="X36" s="17"/>
      <c r="Y36" s="17"/>
      <c r="Z36" s="17"/>
      <c r="AA36" s="17"/>
      <c r="AB36" s="18"/>
      <c r="AC36" s="18"/>
      <c r="AD36" s="18"/>
      <c r="AE36" s="18"/>
      <c r="AG36" s="13" t="str">
        <f t="shared" si="6"/>
        <v>·</v>
      </c>
      <c r="AH36" s="14" t="str">
        <f t="shared" si="7"/>
        <v>·</v>
      </c>
      <c r="AI36" s="14" t="str">
        <f t="shared" si="8"/>
        <v>·</v>
      </c>
      <c r="AJ36" s="14" t="str">
        <f t="shared" si="9"/>
        <v>·</v>
      </c>
      <c r="AK36" s="14" t="str">
        <f t="shared" si="10"/>
        <v>·</v>
      </c>
      <c r="AL36" s="11" t="str">
        <f t="shared" si="11"/>
        <v/>
      </c>
      <c r="AM36" s="14">
        <v>-12</v>
      </c>
      <c r="AN36" s="15"/>
      <c r="AO36" s="15"/>
      <c r="AP36" s="15"/>
      <c r="AQ36" s="16"/>
      <c r="AR36" s="16"/>
      <c r="AS36" s="16"/>
      <c r="AT36" s="16"/>
      <c r="AU36" s="17"/>
      <c r="AV36" s="17"/>
      <c r="AW36" s="17"/>
      <c r="AX36" s="17"/>
      <c r="AY36" s="17"/>
      <c r="AZ36" s="18"/>
      <c r="BA36" s="18"/>
      <c r="BB36" s="18"/>
      <c r="BC36" s="18"/>
      <c r="BE36" s="43" t="e">
        <f t="shared" si="12"/>
        <v>#VALUE!</v>
      </c>
      <c r="BF36" s="19" t="e">
        <f t="shared" si="13"/>
        <v>#DIV/0!</v>
      </c>
      <c r="BG36" s="19" t="e">
        <f t="shared" si="14"/>
        <v>#VALUE!</v>
      </c>
      <c r="BH36" s="19"/>
      <c r="BJ36" s="43"/>
      <c r="BK36" s="43"/>
      <c r="BL36" s="43"/>
      <c r="BM36" s="43"/>
      <c r="BN36" s="43"/>
      <c r="BP36" s="43"/>
      <c r="BQ36" s="43"/>
      <c r="BR36" s="43"/>
      <c r="BS36" s="43"/>
      <c r="BT36" s="43"/>
      <c r="BV36" s="51" t="e">
        <f t="shared" si="27"/>
        <v>#DIV/0!</v>
      </c>
      <c r="BW36" s="51" t="e">
        <f t="shared" si="27"/>
        <v>#DIV/0!</v>
      </c>
      <c r="BX36" s="51" t="e">
        <f t="shared" si="27"/>
        <v>#DIV/0!</v>
      </c>
      <c r="BY36" s="51" t="e">
        <f t="shared" si="16"/>
        <v>#DIV/0!</v>
      </c>
      <c r="BZ36" s="55"/>
      <c r="CA36" s="51"/>
      <c r="CC36" s="57"/>
    </row>
    <row r="37" spans="1:81" outlineLevel="1" x14ac:dyDescent="0.15">
      <c r="A37" s="46"/>
      <c r="B37" s="46" t="s">
        <v>29</v>
      </c>
      <c r="C37" s="3" t="s">
        <v>146</v>
      </c>
      <c r="D37" s="46">
        <v>333190689</v>
      </c>
      <c r="E37" s="3">
        <v>11</v>
      </c>
      <c r="F37" s="3">
        <v>32</v>
      </c>
      <c r="G37" s="3">
        <v>30</v>
      </c>
      <c r="I37" s="4" t="str">
        <f t="shared" si="0"/>
        <v>·</v>
      </c>
      <c r="J37" s="5" t="str">
        <f t="shared" si="1"/>
        <v>·</v>
      </c>
      <c r="K37" s="5" t="str">
        <f t="shared" si="2"/>
        <v>·</v>
      </c>
      <c r="L37" s="5" t="str">
        <f t="shared" si="3"/>
        <v>·</v>
      </c>
      <c r="M37" s="5" t="str">
        <f t="shared" si="4"/>
        <v>·</v>
      </c>
      <c r="N37" s="46" t="str">
        <f t="shared" si="5"/>
        <v/>
      </c>
      <c r="O37" s="5">
        <v>-12</v>
      </c>
      <c r="P37" s="6">
        <v>81688385</v>
      </c>
      <c r="Q37" s="6">
        <v>2552762.03125</v>
      </c>
      <c r="R37" s="6">
        <v>42067.1875</v>
      </c>
      <c r="S37" s="7"/>
      <c r="T37" s="7"/>
      <c r="U37" s="7"/>
      <c r="V37" s="7"/>
      <c r="W37" s="8"/>
      <c r="X37" s="8"/>
      <c r="Y37" s="8"/>
      <c r="Z37" s="8"/>
      <c r="AA37" s="8"/>
      <c r="AB37" s="9"/>
      <c r="AC37" s="9"/>
      <c r="AD37" s="9"/>
      <c r="AE37" s="9"/>
      <c r="AG37" s="4" t="str">
        <f t="shared" si="6"/>
        <v>·</v>
      </c>
      <c r="AH37" s="5" t="str">
        <f t="shared" si="7"/>
        <v>·</v>
      </c>
      <c r="AI37" s="5" t="str">
        <f t="shared" si="8"/>
        <v>·</v>
      </c>
      <c r="AJ37" s="5" t="str">
        <f t="shared" si="9"/>
        <v>·</v>
      </c>
      <c r="AK37" s="5" t="str">
        <f t="shared" si="10"/>
        <v>·</v>
      </c>
      <c r="AL37" s="46" t="str">
        <f t="shared" si="11"/>
        <v/>
      </c>
      <c r="AM37" s="5">
        <v>-12</v>
      </c>
      <c r="AN37" s="6"/>
      <c r="AO37" s="6"/>
      <c r="AP37" s="6"/>
      <c r="AQ37" s="7"/>
      <c r="AR37" s="7"/>
      <c r="AS37" s="7"/>
      <c r="AT37" s="7"/>
      <c r="AU37" s="8"/>
      <c r="AV37" s="8"/>
      <c r="AW37" s="8"/>
      <c r="AX37" s="8"/>
      <c r="AY37" s="8"/>
      <c r="AZ37" s="9"/>
      <c r="BA37" s="9"/>
      <c r="BB37" s="9"/>
      <c r="BC37" s="9"/>
      <c r="BE37" s="44" t="e">
        <f t="shared" si="12"/>
        <v>#VALUE!</v>
      </c>
      <c r="BF37" s="10" t="e">
        <f t="shared" si="13"/>
        <v>#DIV/0!</v>
      </c>
      <c r="BG37" s="10" t="e">
        <f t="shared" si="14"/>
        <v>#VALUE!</v>
      </c>
      <c r="BH37" s="10"/>
      <c r="BJ37" s="44"/>
      <c r="BK37" s="44"/>
      <c r="BL37" s="44"/>
      <c r="BM37" s="44"/>
      <c r="BN37" s="44"/>
      <c r="BP37" s="44"/>
      <c r="BQ37" s="44"/>
      <c r="BR37" s="44"/>
      <c r="BS37" s="44"/>
      <c r="BT37" s="44"/>
      <c r="BV37" s="51" t="e">
        <f t="shared" si="27"/>
        <v>#DIV/0!</v>
      </c>
      <c r="BW37" s="51" t="e">
        <f t="shared" si="27"/>
        <v>#DIV/0!</v>
      </c>
      <c r="BX37" s="51" t="e">
        <f t="shared" si="27"/>
        <v>#DIV/0!</v>
      </c>
      <c r="BY37" s="51" t="e">
        <f t="shared" si="16"/>
        <v>#DIV/0!</v>
      </c>
      <c r="BZ37" s="55"/>
      <c r="CA37" s="51"/>
      <c r="CC37" s="57"/>
    </row>
    <row r="38" spans="1:81" outlineLevel="1" x14ac:dyDescent="0.15">
      <c r="A38" s="11"/>
      <c r="B38" s="11" t="s">
        <v>29</v>
      </c>
      <c r="C38" s="12" t="s">
        <v>147</v>
      </c>
      <c r="D38" s="11">
        <v>333190689</v>
      </c>
      <c r="E38" s="12">
        <v>11</v>
      </c>
      <c r="F38" s="12">
        <v>32</v>
      </c>
      <c r="G38" s="12">
        <v>30</v>
      </c>
      <c r="I38" s="13" t="str">
        <f t="shared" si="0"/>
        <v>·</v>
      </c>
      <c r="J38" s="14" t="str">
        <f t="shared" si="1"/>
        <v>·</v>
      </c>
      <c r="K38" s="14" t="str">
        <f t="shared" si="2"/>
        <v>·</v>
      </c>
      <c r="L38" s="14" t="str">
        <f t="shared" si="3"/>
        <v>·</v>
      </c>
      <c r="M38" s="14" t="str">
        <f t="shared" si="4"/>
        <v>·</v>
      </c>
      <c r="N38" s="11" t="str">
        <f t="shared" si="5"/>
        <v/>
      </c>
      <c r="O38" s="14">
        <v>-12</v>
      </c>
      <c r="P38" s="15">
        <v>83757654</v>
      </c>
      <c r="Q38" s="15">
        <v>2617426.6875</v>
      </c>
      <c r="R38" s="15">
        <v>46922.8125</v>
      </c>
      <c r="S38" s="16"/>
      <c r="T38" s="16"/>
      <c r="U38" s="16"/>
      <c r="V38" s="16"/>
      <c r="W38" s="17"/>
      <c r="X38" s="17"/>
      <c r="Y38" s="17"/>
      <c r="Z38" s="17"/>
      <c r="AA38" s="17"/>
      <c r="AB38" s="18"/>
      <c r="AC38" s="18"/>
      <c r="AD38" s="18"/>
      <c r="AE38" s="18"/>
      <c r="AG38" s="13" t="str">
        <f t="shared" si="6"/>
        <v>·</v>
      </c>
      <c r="AH38" s="14" t="str">
        <f t="shared" si="7"/>
        <v>·</v>
      </c>
      <c r="AI38" s="14" t="str">
        <f t="shared" si="8"/>
        <v>·</v>
      </c>
      <c r="AJ38" s="14" t="str">
        <f t="shared" si="9"/>
        <v>·</v>
      </c>
      <c r="AK38" s="14" t="str">
        <f t="shared" si="10"/>
        <v>·</v>
      </c>
      <c r="AL38" s="11" t="str">
        <f t="shared" si="11"/>
        <v/>
      </c>
      <c r="AM38" s="14">
        <v>-12</v>
      </c>
      <c r="AN38" s="15"/>
      <c r="AO38" s="15"/>
      <c r="AP38" s="15"/>
      <c r="AQ38" s="16"/>
      <c r="AR38" s="16"/>
      <c r="AS38" s="16"/>
      <c r="AT38" s="16"/>
      <c r="AU38" s="17"/>
      <c r="AV38" s="17"/>
      <c r="AW38" s="17"/>
      <c r="AX38" s="17"/>
      <c r="AY38" s="17"/>
      <c r="AZ38" s="18"/>
      <c r="BA38" s="18"/>
      <c r="BB38" s="18"/>
      <c r="BC38" s="18"/>
      <c r="BE38" s="43" t="e">
        <f t="shared" si="12"/>
        <v>#VALUE!</v>
      </c>
      <c r="BF38" s="19" t="e">
        <f t="shared" si="13"/>
        <v>#DIV/0!</v>
      </c>
      <c r="BG38" s="19" t="e">
        <f t="shared" si="14"/>
        <v>#VALUE!</v>
      </c>
      <c r="BH38" s="19"/>
      <c r="BJ38" s="43"/>
      <c r="BK38" s="43"/>
      <c r="BL38" s="43"/>
      <c r="BM38" s="43"/>
      <c r="BN38" s="43"/>
      <c r="BP38" s="43"/>
      <c r="BQ38" s="43"/>
      <c r="BR38" s="43"/>
      <c r="BS38" s="43"/>
      <c r="BT38" s="43"/>
      <c r="BV38" s="51" t="e">
        <f t="shared" si="27"/>
        <v>#DIV/0!</v>
      </c>
      <c r="BW38" s="51" t="e">
        <f t="shared" si="27"/>
        <v>#DIV/0!</v>
      </c>
      <c r="BX38" s="51" t="e">
        <f t="shared" si="27"/>
        <v>#DIV/0!</v>
      </c>
      <c r="BY38" s="51" t="e">
        <f t="shared" si="16"/>
        <v>#DIV/0!</v>
      </c>
      <c r="BZ38" s="54"/>
      <c r="CC38" s="57"/>
    </row>
    <row r="39" spans="1:81" ht="14.25" outlineLevel="1" thickBot="1" x14ac:dyDescent="0.2">
      <c r="A39" s="20"/>
      <c r="B39" s="20" t="s">
        <v>29</v>
      </c>
      <c r="C39" s="21" t="s">
        <v>148</v>
      </c>
      <c r="D39" s="20">
        <v>333190689</v>
      </c>
      <c r="E39" s="21">
        <v>11</v>
      </c>
      <c r="F39" s="21">
        <v>32</v>
      </c>
      <c r="G39" s="21">
        <v>30</v>
      </c>
      <c r="I39" s="22" t="str">
        <f t="shared" si="0"/>
        <v>·</v>
      </c>
      <c r="J39" s="23" t="str">
        <f t="shared" si="1"/>
        <v>·</v>
      </c>
      <c r="K39" s="23" t="str">
        <f t="shared" si="2"/>
        <v>·</v>
      </c>
      <c r="L39" s="23" t="str">
        <f t="shared" si="3"/>
        <v>·</v>
      </c>
      <c r="M39" s="23" t="str">
        <f t="shared" si="4"/>
        <v>·</v>
      </c>
      <c r="N39" s="20" t="str">
        <f t="shared" si="5"/>
        <v/>
      </c>
      <c r="O39" s="23">
        <v>-12</v>
      </c>
      <c r="P39" s="24">
        <v>81959857</v>
      </c>
      <c r="Q39" s="24">
        <v>2561245.53125</v>
      </c>
      <c r="R39" s="24">
        <v>18607.15625</v>
      </c>
      <c r="S39" s="25"/>
      <c r="T39" s="25"/>
      <c r="U39" s="25"/>
      <c r="V39" s="25"/>
      <c r="W39" s="26"/>
      <c r="X39" s="26"/>
      <c r="Y39" s="26"/>
      <c r="Z39" s="26"/>
      <c r="AA39" s="26"/>
      <c r="AB39" s="27"/>
      <c r="AC39" s="27"/>
      <c r="AD39" s="27"/>
      <c r="AE39" s="27"/>
      <c r="AG39" s="22" t="str">
        <f t="shared" si="6"/>
        <v>·</v>
      </c>
      <c r="AH39" s="23" t="str">
        <f t="shared" si="7"/>
        <v>·</v>
      </c>
      <c r="AI39" s="23" t="str">
        <f t="shared" si="8"/>
        <v>·</v>
      </c>
      <c r="AJ39" s="23" t="str">
        <f t="shared" si="9"/>
        <v>·</v>
      </c>
      <c r="AK39" s="23" t="str">
        <f t="shared" si="10"/>
        <v>·</v>
      </c>
      <c r="AL39" s="20" t="str">
        <f t="shared" si="11"/>
        <v/>
      </c>
      <c r="AM39" s="23">
        <v>-12</v>
      </c>
      <c r="AN39" s="24"/>
      <c r="AO39" s="24"/>
      <c r="AP39" s="24"/>
      <c r="AQ39" s="25"/>
      <c r="AR39" s="25"/>
      <c r="AS39" s="25"/>
      <c r="AT39" s="25"/>
      <c r="AU39" s="26"/>
      <c r="AV39" s="26"/>
      <c r="AW39" s="26"/>
      <c r="AX39" s="26"/>
      <c r="AY39" s="26"/>
      <c r="AZ39" s="27"/>
      <c r="BA39" s="27"/>
      <c r="BB39" s="27"/>
      <c r="BC39" s="27"/>
      <c r="BE39" s="28" t="e">
        <f t="shared" si="12"/>
        <v>#VALUE!</v>
      </c>
      <c r="BF39" s="29" t="e">
        <f t="shared" si="13"/>
        <v>#DIV/0!</v>
      </c>
      <c r="BG39" s="29" t="e">
        <f t="shared" si="14"/>
        <v>#VALUE!</v>
      </c>
      <c r="BH39" s="29"/>
      <c r="BJ39" s="28"/>
      <c r="BK39" s="28"/>
      <c r="BL39" s="28"/>
      <c r="BM39" s="28"/>
      <c r="BN39" s="28"/>
      <c r="BP39" s="28"/>
      <c r="BQ39" s="28"/>
      <c r="BR39" s="28"/>
      <c r="BS39" s="28"/>
      <c r="BT39" s="28"/>
      <c r="BV39" s="52" t="e">
        <f t="shared" si="27"/>
        <v>#DIV/0!</v>
      </c>
      <c r="BW39" s="52" t="e">
        <f t="shared" si="27"/>
        <v>#DIV/0!</v>
      </c>
      <c r="BX39" s="52" t="e">
        <f t="shared" si="27"/>
        <v>#DIV/0!</v>
      </c>
      <c r="BY39" s="52" t="e">
        <f t="shared" si="16"/>
        <v>#DIV/0!</v>
      </c>
      <c r="BZ39" s="54"/>
      <c r="CC39" s="57"/>
    </row>
    <row r="40" spans="1:81" x14ac:dyDescent="0.15">
      <c r="B40" s="40" t="s">
        <v>9</v>
      </c>
      <c r="J40" s="41">
        <f>AVERAGE(J5:J24)</f>
        <v>4.4208546081002734E-2</v>
      </c>
      <c r="K40" s="41">
        <f>AVERAGE(K5:K24)</f>
        <v>1.3836094495758086E-2</v>
      </c>
      <c r="L40" s="41">
        <f>AVERAGE(L5:L24)</f>
        <v>9.6969495541967075E-3</v>
      </c>
      <c r="M40" s="41">
        <f>AVERAGE(M5:M24)</f>
        <v>3.0372451585244636E-2</v>
      </c>
      <c r="AH40" s="41">
        <f>AVERAGE(AH5:AH24)</f>
        <v>4.429086655648156E-2</v>
      </c>
      <c r="AI40" s="41">
        <f>AVERAGE(AI5:AI24)</f>
        <v>1.3874247304917342E-2</v>
      </c>
      <c r="AJ40" s="41">
        <f>AVERAGE(AJ5:AJ24)</f>
        <v>9.7351023633559693E-3</v>
      </c>
      <c r="AK40" s="41">
        <f>AVERAGE(AK5:AK24)</f>
        <v>3.0416619251564213E-2</v>
      </c>
      <c r="BE40" s="45">
        <f t="shared" si="12"/>
        <v>1.0027574839974498</v>
      </c>
      <c r="BH40" s="47">
        <f>AVERAGE(BH5:BH24)</f>
        <v>3.2946396698180225E-5</v>
      </c>
      <c r="BJ40" s="45">
        <f>AVERAGE(BJ5:BJ24)</f>
        <v>5.8300577934612963E-3</v>
      </c>
      <c r="BK40" s="45">
        <f>AVERAGE(BK5:BK24)</f>
        <v>8.6754274382503938E-3</v>
      </c>
      <c r="BL40" s="45">
        <f>AVERAGE(BL5:BL24)</f>
        <v>2.7947824602815585E-3</v>
      </c>
      <c r="BM40" s="45">
        <f>AVERAGE(BM5:BM24)</f>
        <v>-3.3467926549656801E-3</v>
      </c>
      <c r="BN40" s="45">
        <f>AVERAGE(BN5:BN24)</f>
        <v>-5.6693724622784991E-3</v>
      </c>
      <c r="BP40" s="45">
        <f>AVERAGE(BP5:BP24)</f>
        <v>8.6538707116534663E-3</v>
      </c>
      <c r="BQ40" s="45">
        <f>AVERAGE(BQ5:BQ24)</f>
        <v>1.2174666554026603E-2</v>
      </c>
      <c r="BR40" s="45">
        <f>AVERAGE(BR5:BR24)</f>
        <v>2.37668929757337E-3</v>
      </c>
      <c r="BS40" s="45">
        <f>AVERAGE(BS5:BS24)</f>
        <v>-1.9588610056667233E-3</v>
      </c>
      <c r="BT40" s="45">
        <f>AVERAGE(BT5:BT24)</f>
        <v>-4.1240463000353778E-3</v>
      </c>
      <c r="BV40" s="51">
        <f>AVERAGE(BV5:BV29)</f>
        <v>0.4511701277627963</v>
      </c>
      <c r="BW40" s="51">
        <f t="shared" ref="BW40:BX40" si="31">AVERAGE(BW5:BW29)</f>
        <v>0.37157461426101329</v>
      </c>
      <c r="BX40" s="51">
        <f t="shared" si="31"/>
        <v>0.2542191568955447</v>
      </c>
      <c r="BY40" s="59">
        <f>AVERAGE(BV40:BW40)</f>
        <v>0.41137237101190482</v>
      </c>
      <c r="BZ40" s="54"/>
      <c r="CB40" s="51"/>
      <c r="CC40" s="58"/>
    </row>
    <row r="41" spans="1:81" x14ac:dyDescent="0.15">
      <c r="B41" s="40" t="s">
        <v>10</v>
      </c>
      <c r="J41" s="41">
        <f>AVERAGE(J25:J29)</f>
        <v>7.9821412994069529E-2</v>
      </c>
      <c r="K41" s="41">
        <f>AVERAGE(K25:K29)</f>
        <v>1.2343170896124311E-2</v>
      </c>
      <c r="L41" s="41">
        <f>AVERAGE(L25:L29)</f>
        <v>9.0938284872662568E-3</v>
      </c>
      <c r="M41" s="41">
        <f>AVERAGE(M25:M29)</f>
        <v>6.7478242097945215E-2</v>
      </c>
      <c r="AH41" s="41">
        <f>AVERAGE(AH25:AH29)</f>
        <v>7.9891845201827016E-2</v>
      </c>
      <c r="AI41" s="41">
        <f>AVERAGE(AI25:AI29)</f>
        <v>1.239439373881453E-2</v>
      </c>
      <c r="AJ41" s="41">
        <f>AVERAGE(AJ25:AJ29)</f>
        <v>9.1450513299564749E-3</v>
      </c>
      <c r="AK41" s="41">
        <f>AVERAGE(AK25:AK29)</f>
        <v>6.7497451463012489E-2</v>
      </c>
      <c r="BE41" s="45">
        <f t="shared" si="12"/>
        <v>1.0041498933395068</v>
      </c>
      <c r="BH41" s="47">
        <f>AVERAGE(BH25:BH29)</f>
        <v>3.0679650203882525E-4</v>
      </c>
      <c r="BJ41" s="45">
        <f>AVERAGE(BJ25:BJ29)</f>
        <v>7.6757470803421324E-3</v>
      </c>
      <c r="BK41" s="45">
        <f>AVERAGE(BK25:BK29)</f>
        <v>1.395108186138061E-2</v>
      </c>
      <c r="BL41" s="45">
        <f>AVERAGE(BL25:BL29)</f>
        <v>9.3872346031931286E-4</v>
      </c>
      <c r="BM41" s="45">
        <f>AVERAGE(BM25:BM29)</f>
        <v>-4.4268513620016048E-4</v>
      </c>
      <c r="BN41" s="45">
        <f>AVERAGE(BN25:BN29)</f>
        <v>-9.6541035594444047E-4</v>
      </c>
      <c r="BP41" s="45">
        <f>AVERAGE(BP25:BP29)</f>
        <v>1.0885036993992125E-2</v>
      </c>
      <c r="BQ41" s="45">
        <f>AVERAGE(BQ25:BQ29)</f>
        <v>2.1210197303669354E-2</v>
      </c>
      <c r="BR41" s="45">
        <f>AVERAGE(BR25:BR29)</f>
        <v>1.1961908421227463E-3</v>
      </c>
      <c r="BS41" s="45">
        <f>AVERAGE(BS25:BS29)</f>
        <v>5.0699076329374648E-5</v>
      </c>
      <c r="BT41" s="45">
        <f>AVERAGE(BT25:BT29)</f>
        <v>-4.1137833025417514E-4</v>
      </c>
    </row>
    <row r="42" spans="1:81" x14ac:dyDescent="0.15">
      <c r="B42" s="40" t="s">
        <v>11</v>
      </c>
      <c r="J42" s="41" t="e">
        <f>AVERAGE(J30:J39)</f>
        <v>#DIV/0!</v>
      </c>
      <c r="K42" s="41" t="e">
        <f>AVERAGE(K30:K39)</f>
        <v>#DIV/0!</v>
      </c>
      <c r="L42" s="41" t="e">
        <f>AVERAGE(L30:L39)</f>
        <v>#DIV/0!</v>
      </c>
      <c r="M42" s="41" t="e">
        <f>AVERAGE(M30:M39)</f>
        <v>#DIV/0!</v>
      </c>
      <c r="AH42" s="41" t="e">
        <f>AVERAGE(AH30:AH39)</f>
        <v>#DIV/0!</v>
      </c>
      <c r="AI42" s="41" t="e">
        <f>AVERAGE(AI30:AI39)</f>
        <v>#DIV/0!</v>
      </c>
      <c r="AJ42" s="41" t="e">
        <f>AVERAGE(AJ30:AJ39)</f>
        <v>#DIV/0!</v>
      </c>
      <c r="AK42" s="41" t="e">
        <f>AVERAGE(AK30:AK39)</f>
        <v>#DIV/0!</v>
      </c>
      <c r="BE42" s="45" t="e">
        <f t="shared" si="12"/>
        <v>#DIV/0!</v>
      </c>
      <c r="BH42" s="47" t="e">
        <f>AVERAGE(BH30:BH39)</f>
        <v>#VALUE!</v>
      </c>
      <c r="BJ42" s="45" t="e">
        <f>AVERAGE(BJ30:BJ39)</f>
        <v>#DIV/0!</v>
      </c>
      <c r="BK42" s="45" t="e">
        <f>AVERAGE(BK30:BK39)</f>
        <v>#DIV/0!</v>
      </c>
      <c r="BL42" s="45" t="e">
        <f>AVERAGE(BL30:BL39)</f>
        <v>#DIV/0!</v>
      </c>
      <c r="BM42" s="45" t="e">
        <f>AVERAGE(BM30:BM39)</f>
        <v>#DIV/0!</v>
      </c>
      <c r="BN42" s="45" t="e">
        <f>AVERAGE(BN30:BN39)</f>
        <v>#DIV/0!</v>
      </c>
      <c r="BP42" s="45" t="e">
        <f>AVERAGE(BP30:BP39)</f>
        <v>#DIV/0!</v>
      </c>
      <c r="BQ42" s="45" t="e">
        <f>AVERAGE(BQ30:BQ39)</f>
        <v>#DIV/0!</v>
      </c>
      <c r="BR42" s="45" t="e">
        <f>AVERAGE(BR30:BR39)</f>
        <v>#DIV/0!</v>
      </c>
      <c r="BS42" s="45" t="e">
        <f>AVERAGE(BS30:BS39)</f>
        <v>#DIV/0!</v>
      </c>
      <c r="BT42" s="45" t="e">
        <f>AVERAGE(BT30:BT39)</f>
        <v>#DIV/0!</v>
      </c>
    </row>
    <row r="43" spans="1:81" x14ac:dyDescent="0.15">
      <c r="B43" s="40" t="s">
        <v>12</v>
      </c>
      <c r="J43" s="41">
        <f>AVERAGE(J5:J39)</f>
        <v>5.1331119463616091E-2</v>
      </c>
      <c r="K43" s="41">
        <f>AVERAGE(K5:K39)</f>
        <v>1.3537509775831333E-2</v>
      </c>
      <c r="L43" s="41">
        <f>AVERAGE(L5:L39)</f>
        <v>9.5763253408106177E-3</v>
      </c>
      <c r="M43" s="41">
        <f>AVERAGE(M5:M39)</f>
        <v>3.7793609687784752E-2</v>
      </c>
      <c r="AH43" s="41">
        <f>AVERAGE(AH5:AH39)</f>
        <v>5.1411062285550653E-2</v>
      </c>
      <c r="AI43" s="41">
        <f>AVERAGE(AI5:AI39)</f>
        <v>1.3578276591696779E-2</v>
      </c>
      <c r="AJ43" s="41">
        <f>AVERAGE(AJ5:AJ39)</f>
        <v>9.6170921566760686E-3</v>
      </c>
      <c r="AK43" s="41">
        <f>AVERAGE(AK5:AK39)</f>
        <v>3.7832785693853871E-2</v>
      </c>
      <c r="BE43" s="45">
        <f t="shared" si="12"/>
        <v>1.0030113969659491</v>
      </c>
      <c r="BH43" s="47" t="e">
        <f>AVERAGE(BH5:BH39)</f>
        <v>#VALUE!</v>
      </c>
      <c r="BJ43" s="45">
        <f>AVERAGE(BJ5:BJ39)</f>
        <v>6.1991956508374631E-3</v>
      </c>
      <c r="BK43" s="45">
        <f>AVERAGE(BK5:BK39)</f>
        <v>9.7305583228764377E-3</v>
      </c>
      <c r="BL43" s="45">
        <f>AVERAGE(BL5:BL39)</f>
        <v>2.4235706602891093E-3</v>
      </c>
      <c r="BM43" s="45">
        <f>AVERAGE(BM5:BM39)</f>
        <v>-2.7659711512125762E-3</v>
      </c>
      <c r="BN43" s="45">
        <f>AVERAGE(BN5:BN39)</f>
        <v>-4.7285800410116876E-3</v>
      </c>
      <c r="BP43" s="45">
        <f>AVERAGE(BP5:BP39)</f>
        <v>9.1001039681211978E-3</v>
      </c>
      <c r="BQ43" s="45">
        <f>AVERAGE(BQ5:BQ39)</f>
        <v>1.3981772703955153E-2</v>
      </c>
      <c r="BR43" s="45">
        <f>AVERAGE(BR5:BR39)</f>
        <v>2.1405896064832452E-3</v>
      </c>
      <c r="BS43" s="45">
        <f>AVERAGE(BS5:BS39)</f>
        <v>-1.5569489892675037E-3</v>
      </c>
      <c r="BT43" s="45">
        <f>AVERAGE(BT5:BT39)</f>
        <v>-3.3815127060791371E-3</v>
      </c>
      <c r="BV43" s="51" t="e">
        <f>AVERAGE(BV5:BV39)</f>
        <v>#DIV/0!</v>
      </c>
      <c r="BW43" s="51" t="e">
        <f>AVERAGE(BW5:BW39)</f>
        <v>#DIV/0!</v>
      </c>
      <c r="BX43" s="51" t="e">
        <f t="shared" ref="BX43" si="32">AVERAGE(BX8:BX32)</f>
        <v>#DIV/0!</v>
      </c>
      <c r="BY43" s="51" t="e">
        <f>AVERAGE(BV43:BW43)</f>
        <v>#DIV/0!</v>
      </c>
      <c r="BZ43" s="51"/>
      <c r="CA43" s="51"/>
    </row>
    <row r="44" spans="1:81" ht="13.5" hidden="1" customHeight="1" outlineLevel="2" x14ac:dyDescent="0.15">
      <c r="A44" s="40" t="s">
        <v>151</v>
      </c>
      <c r="B44" s="40" t="s">
        <v>152</v>
      </c>
      <c r="AB44" s="42">
        <f>SUM(AB5:AB24,AB25:AB29,AB30:AB39)</f>
        <v>13583.588</v>
      </c>
      <c r="AC44" s="42">
        <f>SUM(AC5:AC24,AC25:AC29,AC30:AC39)</f>
        <v>12281.821999999998</v>
      </c>
      <c r="AD44" s="42">
        <f>SUM(AD5:AD24,AD25:AD29,AD30:AD39)</f>
        <v>42747.12999999999</v>
      </c>
      <c r="AE44" s="42">
        <f>SUM(AE5:AE24,AE25:AE29,AE30:AE39)</f>
        <v>256.86500000000001</v>
      </c>
      <c r="AZ44" s="42">
        <f>SUM(AZ5:AZ24,AZ25:AZ29,AZ30:AZ39)</f>
        <v>7519.53</v>
      </c>
      <c r="BA44" s="42">
        <f>SUM(BA5:BA24,BA25:BA29,BA30:BA39)</f>
        <v>7794.5460000000012</v>
      </c>
      <c r="BB44" s="42">
        <f>SUM(BB5:BB24,BB25:BB29,BB30:BB39)</f>
        <v>32135.601000000006</v>
      </c>
      <c r="BC44" s="42">
        <f>SUM(BC5:BC24,BC25:BC29,BC30:BC39)</f>
        <v>255.97299999999998</v>
      </c>
    </row>
    <row r="45" spans="1:81" ht="13.5" hidden="1" customHeight="1" outlineLevel="2" x14ac:dyDescent="0.15">
      <c r="B45" s="40" t="s">
        <v>153</v>
      </c>
      <c r="AZ45" s="47">
        <f>AZ44/AB44</f>
        <v>0.55357465199916256</v>
      </c>
      <c r="BA45" s="47">
        <f>BA44/AC44</f>
        <v>0.63464085377560453</v>
      </c>
      <c r="BB45" s="47">
        <f>BB44/AD44</f>
        <v>0.75176043397533387</v>
      </c>
      <c r="BC45" s="47">
        <f>BC44/AE44</f>
        <v>0.99652735872929354</v>
      </c>
    </row>
    <row r="46" spans="1:81" ht="27" hidden="1" customHeight="1" outlineLevel="2" x14ac:dyDescent="0.15">
      <c r="B46" s="40" t="s">
        <v>154</v>
      </c>
      <c r="AB46" s="42">
        <f>GEOMEAN(AB5:AB24,AB25:AB29,AB30:AB39)</f>
        <v>539.64837334668141</v>
      </c>
      <c r="AC46" s="42">
        <f>GEOMEAN(AC5:AC24,AC25:AC29,AC30:AC39)</f>
        <v>485.97404488690677</v>
      </c>
      <c r="AD46" s="42">
        <f>GEOMEAN(AD5:AD24,AD25:AD29,AD30:AD39)</f>
        <v>1693.5332530839414</v>
      </c>
      <c r="AE46" s="42">
        <f>GEOMEAN(AE5:AE24,AE25:AE29,AE30:AE39)</f>
        <v>10.267166311101912</v>
      </c>
      <c r="AZ46" s="42">
        <f>GEOMEAN(AZ5:AZ24,AZ25:AZ29,AZ30:AZ39)</f>
        <v>294.24258165781941</v>
      </c>
      <c r="BA46" s="42">
        <f>GEOMEAN(BA5:BA24,BA25:BA29,BA30:BA39)</f>
        <v>303.2094214711471</v>
      </c>
      <c r="BB46" s="42">
        <f>GEOMEAN(BB5:BB24,BB25:BB29,BB30:BB39)</f>
        <v>1259.8833445314265</v>
      </c>
      <c r="BC46" s="42">
        <f>GEOMEAN(BC5:BC24,BC25:BC29,BC30:BC39)</f>
        <v>10.232325651518552</v>
      </c>
    </row>
    <row r="47" spans="1:81" ht="27" outlineLevel="2" collapsed="1" x14ac:dyDescent="0.15">
      <c r="B47" s="40" t="s">
        <v>155</v>
      </c>
      <c r="AZ47" s="47">
        <f>AZ46/AB46</f>
        <v>0.54524871414518616</v>
      </c>
      <c r="BA47" s="47">
        <f>BA46/AC46</f>
        <v>0.6239210193657736</v>
      </c>
      <c r="BB47" s="47">
        <f>BB46/AD46</f>
        <v>0.74393776575521386</v>
      </c>
      <c r="BC47" s="47">
        <f>BC46/AE46</f>
        <v>0.99660659440709687</v>
      </c>
    </row>
  </sheetData>
  <mergeCells count="45">
    <mergeCell ref="Q2:Q3"/>
    <mergeCell ref="A1:G1"/>
    <mergeCell ref="I1:AE1"/>
    <mergeCell ref="AG1:BC1"/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AO2:AO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BL2:BN2"/>
    <mergeCell ref="AP2:AP3"/>
    <mergeCell ref="AQ2:AT2"/>
    <mergeCell ref="AU2:AV2"/>
    <mergeCell ref="AW2:AY2"/>
    <mergeCell ref="AZ2:BA2"/>
    <mergeCell ref="BB2:BC2"/>
    <mergeCell ref="BE2:BE3"/>
    <mergeCell ref="BF2:BF3"/>
    <mergeCell ref="BG2:BG3"/>
    <mergeCell ref="BH2:BH3"/>
    <mergeCell ref="BJ2:BK2"/>
    <mergeCell ref="BP2:BQ2"/>
    <mergeCell ref="BR2:BT2"/>
    <mergeCell ref="BV2:BY2"/>
    <mergeCell ref="CD2:CF2"/>
    <mergeCell ref="BZ2:CC2"/>
  </mergeCells>
  <phoneticPr fontId="2" type="noConversion"/>
  <conditionalFormatting sqref="BE5:BE43">
    <cfRule type="cellIs" dxfId="65" priority="1" operator="greaterThanOrEqual">
      <formula>1.03</formula>
    </cfRule>
    <cfRule type="cellIs" dxfId="64" priority="2" operator="lessThanOrEqual">
      <formula>0.97</formula>
    </cfRule>
  </conditionalFormatting>
  <conditionalFormatting sqref="BJ5:BJ43">
    <cfRule type="cellIs" dxfId="63" priority="21" operator="greaterThanOrEqual">
      <formula>0.03</formula>
    </cfRule>
    <cfRule type="cellIs" dxfId="62" priority="22" operator="lessThanOrEqual">
      <formula>-0.03</formula>
    </cfRule>
  </conditionalFormatting>
  <conditionalFormatting sqref="BK5:BK43">
    <cfRule type="cellIs" dxfId="61" priority="19" operator="greaterThanOrEqual">
      <formula>0.03</formula>
    </cfRule>
    <cfRule type="cellIs" dxfId="60" priority="20" operator="lessThanOrEqual">
      <formula>-0.03</formula>
    </cfRule>
  </conditionalFormatting>
  <conditionalFormatting sqref="BL5:BL43">
    <cfRule type="cellIs" dxfId="59" priority="5" operator="greaterThanOrEqual">
      <formula>0.03</formula>
    </cfRule>
    <cfRule type="cellIs" dxfId="58" priority="6" operator="lessThanOrEqual">
      <formula>-0.03</formula>
    </cfRule>
  </conditionalFormatting>
  <conditionalFormatting sqref="BM5:BM43">
    <cfRule type="cellIs" dxfId="57" priority="9" operator="greaterThanOrEqual">
      <formula>0.03</formula>
    </cfRule>
    <cfRule type="cellIs" dxfId="56" priority="10" operator="lessThanOrEqual">
      <formula>-0.03</formula>
    </cfRule>
  </conditionalFormatting>
  <conditionalFormatting sqref="BN5:BN43">
    <cfRule type="cellIs" dxfId="55" priority="11" operator="greaterThanOrEqual">
      <formula>0.03</formula>
    </cfRule>
    <cfRule type="cellIs" dxfId="54" priority="12" operator="lessThanOrEqual">
      <formula>-0.03</formula>
    </cfRule>
  </conditionalFormatting>
  <conditionalFormatting sqref="BP5:BP43">
    <cfRule type="cellIs" dxfId="53" priority="7" operator="greaterThanOrEqual">
      <formula>0.03</formula>
    </cfRule>
    <cfRule type="cellIs" dxfId="52" priority="8" operator="lessThanOrEqual">
      <formula>-0.03</formula>
    </cfRule>
  </conditionalFormatting>
  <conditionalFormatting sqref="BQ5:BQ43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R5:BR43">
    <cfRule type="cellIs" dxfId="49" priority="3" operator="greaterThanOrEqual">
      <formula>0.03</formula>
    </cfRule>
    <cfRule type="cellIs" dxfId="48" priority="4" operator="lessThanOrEqual">
      <formula>-0.03</formula>
    </cfRule>
  </conditionalFormatting>
  <conditionalFormatting sqref="BS5:BS43">
    <cfRule type="cellIs" dxfId="47" priority="15" operator="greaterThanOrEqual">
      <formula>0.03</formula>
    </cfRule>
    <cfRule type="cellIs" dxfId="46" priority="16" operator="lessThanOrEqual">
      <formula>-0.03</formula>
    </cfRule>
  </conditionalFormatting>
  <conditionalFormatting sqref="BT5:BT43">
    <cfRule type="cellIs" dxfId="45" priority="17" operator="greaterThanOrEqual">
      <formula>0.03</formula>
    </cfRule>
    <cfRule type="cellIs" dxfId="44" priority="1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A36E5-FF7D-4E4E-94DA-90507004AC51}">
  <sheetPr>
    <outlinePr summaryBelow="0"/>
  </sheetPr>
  <dimension ref="A1:CF47"/>
  <sheetViews>
    <sheetView tabSelected="1" zoomScale="85" zoomScaleNormal="85" workbookViewId="0">
      <pane xSplit="2" ySplit="4" topLeftCell="BD5" activePane="bottomRight" state="frozen"/>
      <selection pane="topRight" activeCell="C1" sqref="C1"/>
      <selection pane="bottomLeft" activeCell="A5" sqref="A5"/>
      <selection pane="bottomRight" activeCell="BP32" sqref="BP32"/>
    </sheetView>
  </sheetViews>
  <sheetFormatPr defaultRowHeight="13.5" outlineLevelRow="2" x14ac:dyDescent="0.15"/>
  <cols>
    <col min="2" max="2" width="24.75" customWidth="1"/>
    <col min="4" max="5" width="10.75" customWidth="1"/>
    <col min="8" max="8" width="1.75" customWidth="1"/>
    <col min="10" max="13" width="10.75" customWidth="1"/>
    <col min="14" max="14" width="24.75" hidden="1" customWidth="1"/>
    <col min="15" max="15" width="12.75" customWidth="1"/>
    <col min="16" max="16" width="10.75" customWidth="1"/>
    <col min="19" max="22" width="12.75" customWidth="1"/>
    <col min="23" max="27" width="11.75" customWidth="1"/>
    <col min="32" max="32" width="1.75" customWidth="1"/>
    <col min="34" max="37" width="10.75" customWidth="1"/>
    <col min="38" max="38" width="24.75" hidden="1" customWidth="1"/>
    <col min="39" max="39" width="12.75" customWidth="1"/>
    <col min="40" max="40" width="10.75" customWidth="1"/>
    <col min="43" max="46" width="12.75" customWidth="1"/>
    <col min="47" max="51" width="11.75" customWidth="1"/>
    <col min="56" max="56" width="1.75" customWidth="1"/>
    <col min="61" max="61" width="1.75" customWidth="1"/>
    <col min="64" max="66" width="11.75" customWidth="1"/>
    <col min="67" max="67" width="1.75" customWidth="1"/>
    <col min="70" max="72" width="11.75" customWidth="1"/>
    <col min="73" max="73" width="1.75" customWidth="1"/>
    <col min="74" max="74" width="10.75" bestFit="1" customWidth="1"/>
    <col min="75" max="75" width="12" bestFit="1" customWidth="1"/>
    <col min="76" max="76" width="10.625" customWidth="1"/>
    <col min="77" max="79" width="11.25" customWidth="1"/>
    <col min="82" max="84" width="9" style="51"/>
  </cols>
  <sheetData>
    <row r="1" spans="1:84" x14ac:dyDescent="0.15">
      <c r="A1" s="70" t="s">
        <v>50</v>
      </c>
      <c r="B1" s="62"/>
      <c r="C1" s="62"/>
      <c r="D1" s="62"/>
      <c r="E1" s="62"/>
      <c r="F1" s="62"/>
      <c r="G1" s="62"/>
      <c r="I1" s="71" t="e">
        <f>#REF!</f>
        <v>#REF!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G1" s="72" t="e">
        <f>#REF!</f>
        <v>#REF!</v>
      </c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</row>
    <row r="2" spans="1:84" ht="30" customHeight="1" thickBot="1" x14ac:dyDescent="0.2">
      <c r="A2" s="69" t="s">
        <v>51</v>
      </c>
      <c r="B2" s="67" t="s">
        <v>52</v>
      </c>
      <c r="C2" s="69" t="s">
        <v>53</v>
      </c>
      <c r="D2" s="67" t="s">
        <v>54</v>
      </c>
      <c r="E2" s="69" t="s">
        <v>55</v>
      </c>
      <c r="F2" s="67" t="s">
        <v>56</v>
      </c>
      <c r="G2" s="69" t="s">
        <v>57</v>
      </c>
      <c r="I2" s="67" t="s">
        <v>58</v>
      </c>
      <c r="J2" s="63" t="s">
        <v>59</v>
      </c>
      <c r="K2" s="62"/>
      <c r="L2" s="62"/>
      <c r="M2" s="62"/>
      <c r="N2" s="69" t="s">
        <v>60</v>
      </c>
      <c r="O2" s="67" t="s">
        <v>61</v>
      </c>
      <c r="P2" s="69" t="s">
        <v>33</v>
      </c>
      <c r="Q2" s="67" t="s">
        <v>35</v>
      </c>
      <c r="R2" s="69" t="s">
        <v>31</v>
      </c>
      <c r="S2" s="61" t="s">
        <v>62</v>
      </c>
      <c r="T2" s="62"/>
      <c r="U2" s="62"/>
      <c r="V2" s="62"/>
      <c r="W2" s="63" t="s">
        <v>63</v>
      </c>
      <c r="X2" s="62"/>
      <c r="Y2" s="61" t="s">
        <v>64</v>
      </c>
      <c r="Z2" s="62"/>
      <c r="AA2" s="62"/>
      <c r="AB2" s="63" t="s">
        <v>65</v>
      </c>
      <c r="AC2" s="62"/>
      <c r="AD2" s="61" t="s">
        <v>66</v>
      </c>
      <c r="AE2" s="62"/>
      <c r="AG2" s="69" t="s">
        <v>58</v>
      </c>
      <c r="AH2" s="61" t="s">
        <v>59</v>
      </c>
      <c r="AI2" s="62"/>
      <c r="AJ2" s="62"/>
      <c r="AK2" s="62"/>
      <c r="AL2" s="67" t="s">
        <v>67</v>
      </c>
      <c r="AM2" s="69" t="s">
        <v>61</v>
      </c>
      <c r="AN2" s="67" t="s">
        <v>33</v>
      </c>
      <c r="AO2" s="69" t="s">
        <v>35</v>
      </c>
      <c r="AP2" s="67" t="s">
        <v>31</v>
      </c>
      <c r="AQ2" s="63" t="s">
        <v>62</v>
      </c>
      <c r="AR2" s="62"/>
      <c r="AS2" s="62"/>
      <c r="AT2" s="62"/>
      <c r="AU2" s="61" t="s">
        <v>63</v>
      </c>
      <c r="AV2" s="62"/>
      <c r="AW2" s="63" t="s">
        <v>64</v>
      </c>
      <c r="AX2" s="62"/>
      <c r="AY2" s="62"/>
      <c r="AZ2" s="61" t="s">
        <v>65</v>
      </c>
      <c r="BA2" s="62"/>
      <c r="BB2" s="63" t="s">
        <v>66</v>
      </c>
      <c r="BC2" s="62"/>
      <c r="BE2" s="67" t="s">
        <v>68</v>
      </c>
      <c r="BF2" s="69" t="s">
        <v>69</v>
      </c>
      <c r="BG2" s="67" t="s">
        <v>70</v>
      </c>
      <c r="BH2" s="69" t="s">
        <v>70</v>
      </c>
      <c r="BJ2" s="61" t="s">
        <v>0</v>
      </c>
      <c r="BK2" s="62"/>
      <c r="BL2" s="63" t="s">
        <v>1</v>
      </c>
      <c r="BM2" s="62"/>
      <c r="BN2" s="62"/>
      <c r="BP2" s="61" t="s">
        <v>2</v>
      </c>
      <c r="BQ2" s="62"/>
      <c r="BR2" s="63" t="s">
        <v>3</v>
      </c>
      <c r="BS2" s="62"/>
      <c r="BT2" s="62"/>
      <c r="BV2" s="64" t="s">
        <v>478</v>
      </c>
      <c r="BW2" s="64"/>
      <c r="BX2" s="64"/>
      <c r="BY2" s="64"/>
      <c r="BZ2" s="66" t="s">
        <v>481</v>
      </c>
      <c r="CA2" s="66"/>
      <c r="CB2" s="66"/>
      <c r="CC2" s="66"/>
      <c r="CD2" s="65" t="s">
        <v>484</v>
      </c>
      <c r="CE2" s="64"/>
      <c r="CF2" s="64"/>
    </row>
    <row r="3" spans="1:84" ht="14.25" thickBot="1" x14ac:dyDescent="0.2">
      <c r="A3" s="68"/>
      <c r="B3" s="68"/>
      <c r="C3" s="68"/>
      <c r="D3" s="68"/>
      <c r="E3" s="68"/>
      <c r="F3" s="68"/>
      <c r="G3" s="68"/>
      <c r="I3" s="68"/>
      <c r="J3" s="48" t="s">
        <v>15</v>
      </c>
      <c r="K3" s="48" t="s">
        <v>13</v>
      </c>
      <c r="L3" s="48" t="s">
        <v>71</v>
      </c>
      <c r="M3" s="48" t="s">
        <v>72</v>
      </c>
      <c r="N3" s="68"/>
      <c r="O3" s="68"/>
      <c r="P3" s="68"/>
      <c r="Q3" s="68"/>
      <c r="R3" s="68"/>
      <c r="S3" s="49" t="s">
        <v>15</v>
      </c>
      <c r="T3" s="49" t="s">
        <v>71</v>
      </c>
      <c r="U3" s="49" t="s">
        <v>73</v>
      </c>
      <c r="V3" s="49" t="s">
        <v>14</v>
      </c>
      <c r="W3" s="48" t="s">
        <v>4</v>
      </c>
      <c r="X3" s="48" t="s">
        <v>5</v>
      </c>
      <c r="Y3" s="49" t="s">
        <v>6</v>
      </c>
      <c r="Z3" s="49" t="s">
        <v>7</v>
      </c>
      <c r="AA3" s="49" t="s">
        <v>8</v>
      </c>
      <c r="AB3" s="48" t="s">
        <v>74</v>
      </c>
      <c r="AC3" s="48" t="s">
        <v>75</v>
      </c>
      <c r="AD3" s="49" t="s">
        <v>74</v>
      </c>
      <c r="AE3" s="49" t="s">
        <v>75</v>
      </c>
      <c r="AG3" s="68"/>
      <c r="AH3" s="49" t="s">
        <v>15</v>
      </c>
      <c r="AI3" s="49" t="s">
        <v>13</v>
      </c>
      <c r="AJ3" s="49" t="s">
        <v>71</v>
      </c>
      <c r="AK3" s="49" t="s">
        <v>72</v>
      </c>
      <c r="AL3" s="68"/>
      <c r="AM3" s="68"/>
      <c r="AN3" s="68"/>
      <c r="AO3" s="68"/>
      <c r="AP3" s="68"/>
      <c r="AQ3" s="48" t="s">
        <v>15</v>
      </c>
      <c r="AR3" s="48" t="s">
        <v>71</v>
      </c>
      <c r="AS3" s="48" t="s">
        <v>73</v>
      </c>
      <c r="AT3" s="48" t="s">
        <v>14</v>
      </c>
      <c r="AU3" s="49" t="s">
        <v>4</v>
      </c>
      <c r="AV3" s="49" t="s">
        <v>5</v>
      </c>
      <c r="AW3" s="48" t="s">
        <v>6</v>
      </c>
      <c r="AX3" s="48" t="s">
        <v>7</v>
      </c>
      <c r="AY3" s="48" t="s">
        <v>8</v>
      </c>
      <c r="AZ3" s="49" t="s">
        <v>74</v>
      </c>
      <c r="BA3" s="49" t="s">
        <v>75</v>
      </c>
      <c r="BB3" s="48" t="s">
        <v>74</v>
      </c>
      <c r="BC3" s="48" t="s">
        <v>75</v>
      </c>
      <c r="BE3" s="68"/>
      <c r="BF3" s="68"/>
      <c r="BG3" s="68"/>
      <c r="BH3" s="68"/>
      <c r="BJ3" s="49" t="s">
        <v>4</v>
      </c>
      <c r="BK3" s="49" t="s">
        <v>5</v>
      </c>
      <c r="BL3" s="48" t="s">
        <v>6</v>
      </c>
      <c r="BM3" s="48" t="s">
        <v>7</v>
      </c>
      <c r="BN3" s="48" t="s">
        <v>8</v>
      </c>
      <c r="BP3" s="49" t="s">
        <v>4</v>
      </c>
      <c r="BQ3" s="49" t="s">
        <v>5</v>
      </c>
      <c r="BR3" s="48" t="s">
        <v>6</v>
      </c>
      <c r="BS3" s="48" t="s">
        <v>7</v>
      </c>
      <c r="BT3" s="48" t="s">
        <v>8</v>
      </c>
      <c r="BV3" s="50" t="s">
        <v>71</v>
      </c>
      <c r="BW3" s="50" t="s">
        <v>479</v>
      </c>
      <c r="BX3" s="50" t="s">
        <v>480</v>
      </c>
      <c r="BY3" s="56" t="s">
        <v>487</v>
      </c>
      <c r="BZ3" s="53" t="s">
        <v>485</v>
      </c>
      <c r="CA3" s="50" t="s">
        <v>486</v>
      </c>
      <c r="CB3" s="50" t="s">
        <v>480</v>
      </c>
      <c r="CC3" s="56" t="s">
        <v>487</v>
      </c>
      <c r="CD3" s="50" t="s">
        <v>482</v>
      </c>
      <c r="CE3" s="50" t="s">
        <v>483</v>
      </c>
      <c r="CF3" s="50" t="s">
        <v>480</v>
      </c>
    </row>
    <row r="4" spans="1:84" ht="123" hidden="1" customHeight="1" x14ac:dyDescent="0.15">
      <c r="A4" s="1" t="s">
        <v>76</v>
      </c>
      <c r="B4" s="2" t="s">
        <v>77</v>
      </c>
      <c r="C4" s="1" t="s">
        <v>78</v>
      </c>
      <c r="D4" s="2" t="s">
        <v>79</v>
      </c>
      <c r="E4" s="1" t="s">
        <v>80</v>
      </c>
      <c r="F4" s="2" t="s">
        <v>81</v>
      </c>
      <c r="G4" s="1" t="s">
        <v>82</v>
      </c>
      <c r="I4" s="2" t="s">
        <v>83</v>
      </c>
      <c r="J4" s="1" t="s">
        <v>84</v>
      </c>
      <c r="K4" s="1" t="s">
        <v>85</v>
      </c>
      <c r="L4" s="1" t="s">
        <v>86</v>
      </c>
      <c r="M4" s="1" t="s">
        <v>87</v>
      </c>
      <c r="N4" s="1" t="s">
        <v>88</v>
      </c>
      <c r="O4" s="2" t="s">
        <v>89</v>
      </c>
      <c r="P4" s="1" t="s">
        <v>90</v>
      </c>
      <c r="Q4" s="2" t="s">
        <v>91</v>
      </c>
      <c r="R4" s="1" t="s">
        <v>92</v>
      </c>
      <c r="S4" s="2" t="s">
        <v>93</v>
      </c>
      <c r="T4" s="2" t="s">
        <v>94</v>
      </c>
      <c r="U4" s="2" t="s">
        <v>95</v>
      </c>
      <c r="V4" s="2" t="s">
        <v>96</v>
      </c>
      <c r="W4" s="1" t="s">
        <v>97</v>
      </c>
      <c r="X4" s="1" t="s">
        <v>98</v>
      </c>
      <c r="Y4" s="2" t="s">
        <v>99</v>
      </c>
      <c r="Z4" s="2" t="s">
        <v>100</v>
      </c>
      <c r="AA4" s="2" t="s">
        <v>101</v>
      </c>
      <c r="AB4" s="1" t="s">
        <v>102</v>
      </c>
      <c r="AC4" s="1" t="s">
        <v>103</v>
      </c>
      <c r="AD4" s="2" t="s">
        <v>104</v>
      </c>
      <c r="AE4" s="2" t="s">
        <v>105</v>
      </c>
      <c r="AG4" s="1" t="s">
        <v>106</v>
      </c>
      <c r="AH4" s="2" t="s">
        <v>107</v>
      </c>
      <c r="AI4" s="2" t="s">
        <v>108</v>
      </c>
      <c r="AJ4" s="2" t="s">
        <v>109</v>
      </c>
      <c r="AK4" s="2" t="s">
        <v>110</v>
      </c>
      <c r="AL4" s="2" t="s">
        <v>111</v>
      </c>
      <c r="AM4" s="1" t="s">
        <v>112</v>
      </c>
      <c r="AN4" s="2" t="s">
        <v>113</v>
      </c>
      <c r="AO4" s="1" t="s">
        <v>114</v>
      </c>
      <c r="AP4" s="2" t="s">
        <v>115</v>
      </c>
      <c r="AQ4" s="1" t="s">
        <v>116</v>
      </c>
      <c r="AR4" s="1" t="s">
        <v>117</v>
      </c>
      <c r="AS4" s="1" t="s">
        <v>118</v>
      </c>
      <c r="AT4" s="1" t="s">
        <v>119</v>
      </c>
      <c r="AU4" s="2" t="s">
        <v>120</v>
      </c>
      <c r="AV4" s="2" t="s">
        <v>121</v>
      </c>
      <c r="AW4" s="1" t="s">
        <v>122</v>
      </c>
      <c r="AX4" s="1" t="s">
        <v>123</v>
      </c>
      <c r="AY4" s="1" t="s">
        <v>124</v>
      </c>
      <c r="AZ4" s="2" t="s">
        <v>125</v>
      </c>
      <c r="BA4" s="2" t="s">
        <v>126</v>
      </c>
      <c r="BB4" s="1" t="s">
        <v>127</v>
      </c>
      <c r="BC4" s="1" t="s">
        <v>128</v>
      </c>
      <c r="BE4" s="2" t="s">
        <v>129</v>
      </c>
      <c r="BF4" s="1" t="s">
        <v>130</v>
      </c>
      <c r="BG4" s="2" t="s">
        <v>131</v>
      </c>
      <c r="BH4" s="1" t="s">
        <v>132</v>
      </c>
      <c r="BJ4" s="2" t="s">
        <v>133</v>
      </c>
      <c r="BK4" s="2" t="s">
        <v>134</v>
      </c>
      <c r="BL4" s="1" t="s">
        <v>135</v>
      </c>
      <c r="BM4" s="1" t="s">
        <v>136</v>
      </c>
      <c r="BN4" s="1" t="s">
        <v>137</v>
      </c>
      <c r="BP4" s="2" t="s">
        <v>138</v>
      </c>
      <c r="BQ4" s="2" t="s">
        <v>139</v>
      </c>
      <c r="BR4" s="1" t="s">
        <v>140</v>
      </c>
      <c r="BS4" s="1" t="s">
        <v>141</v>
      </c>
      <c r="BT4" s="1" t="s">
        <v>142</v>
      </c>
      <c r="BZ4" s="54"/>
      <c r="CC4" s="57"/>
    </row>
    <row r="5" spans="1:84" x14ac:dyDescent="0.15">
      <c r="A5" s="46" t="s">
        <v>143</v>
      </c>
      <c r="B5" s="46" t="s">
        <v>17</v>
      </c>
      <c r="C5" s="3" t="s">
        <v>144</v>
      </c>
      <c r="D5" s="46">
        <v>238146391</v>
      </c>
      <c r="E5" s="3">
        <v>10</v>
      </c>
      <c r="F5" s="3">
        <v>32</v>
      </c>
      <c r="G5" s="3">
        <v>30</v>
      </c>
      <c r="I5" s="4">
        <f t="shared" ref="I5:I39" si="0">IF(OR(ISBLANK(S5),ISBLANK(G5)),"·",S5*G5/F5/1000000)</f>
        <v>2.1789900000000002</v>
      </c>
      <c r="J5" s="5">
        <f t="shared" ref="J5:J39" si="1">IF(ISBLANK(S5),"·",S5/D5)</f>
        <v>9.7597783877396652E-3</v>
      </c>
      <c r="K5" s="5">
        <f t="shared" ref="K5:K39" si="2">IF(N5="","·",N5/D5)</f>
        <v>6.1712629522905514E-3</v>
      </c>
      <c r="L5" s="5">
        <f t="shared" ref="L5:L39" si="3">IF(T5="","·",T5/D5)</f>
        <v>3.5270742356116581E-3</v>
      </c>
      <c r="M5" s="5">
        <f t="shared" ref="M5:M39" si="4">IF(ISBLANK(V5),"·",V5/D5)</f>
        <v>3.5885154354491143E-3</v>
      </c>
      <c r="N5" s="46">
        <f t="shared" ref="N5:N39" si="5">IF(OR(ISBLANK(T5),ISBLANK(U5)),"",T5+U5)</f>
        <v>1469664</v>
      </c>
      <c r="O5" s="5">
        <v>-12</v>
      </c>
      <c r="P5" s="6">
        <v>21771728</v>
      </c>
      <c r="Q5" s="6">
        <v>680366.5</v>
      </c>
      <c r="R5" s="6">
        <v>13458.65625</v>
      </c>
      <c r="S5" s="7">
        <v>2324256</v>
      </c>
      <c r="T5" s="7">
        <v>839960</v>
      </c>
      <c r="U5" s="7">
        <v>629704</v>
      </c>
      <c r="V5" s="7">
        <v>854592</v>
      </c>
      <c r="W5" s="8">
        <v>66.355962500000004</v>
      </c>
      <c r="X5" s="8">
        <v>68.483328125</v>
      </c>
      <c r="Y5" s="8">
        <v>32.113043750000003</v>
      </c>
      <c r="Z5" s="8">
        <v>44.188546875</v>
      </c>
      <c r="AA5" s="8">
        <v>43.811181249999898</v>
      </c>
      <c r="AB5" s="9">
        <v>431.88900000000001</v>
      </c>
      <c r="AC5" s="9">
        <v>404.07100000000003</v>
      </c>
      <c r="AD5" s="9">
        <v>1435.05</v>
      </c>
      <c r="AE5" s="9">
        <v>9.9529999999999994</v>
      </c>
      <c r="AG5" s="4">
        <f t="shared" ref="AG5:AG39" si="6">IF(OR(ISBLANK(AQ5),ISBLANK(G5)),"·",AQ5*G5/F5/1000000)</f>
        <v>2.1769500000000002</v>
      </c>
      <c r="AH5" s="5">
        <f t="shared" ref="AH5:AH39" si="7">IF(ISBLANK(AQ5),"·",AQ5/D5)</f>
        <v>9.7506411508037506E-3</v>
      </c>
      <c r="AI5" s="5">
        <f t="shared" ref="AI5:AI39" si="8">IF(AL5="","·",AL5/D5)</f>
        <v>6.1711621739419936E-3</v>
      </c>
      <c r="AJ5" s="5">
        <f t="shared" ref="AJ5:AJ39" si="9">IF(AR5="","·",AR5/D5)</f>
        <v>3.5269734572630999E-3</v>
      </c>
      <c r="AK5" s="5">
        <f t="shared" ref="AK5:AK39" si="10">IF(ISBLANK(AT5),"·",AT5/D5)</f>
        <v>3.5794789768617574E-3</v>
      </c>
      <c r="AL5" s="46">
        <f t="shared" ref="AL5:AL39" si="11">IF(OR(ISBLANK(AR5),ISBLANK(AS5)),"",AR5+AS5)</f>
        <v>1469640</v>
      </c>
      <c r="AM5" s="5">
        <v>-12</v>
      </c>
      <c r="AN5" s="6"/>
      <c r="AO5" s="6"/>
      <c r="AP5" s="6"/>
      <c r="AQ5" s="7">
        <v>2322080</v>
      </c>
      <c r="AR5" s="7">
        <v>839936</v>
      </c>
      <c r="AS5" s="7">
        <v>629704</v>
      </c>
      <c r="AT5" s="7">
        <v>852440</v>
      </c>
      <c r="AU5" s="8">
        <v>66.355090625000003</v>
      </c>
      <c r="AV5" s="8">
        <v>68.482584375000002</v>
      </c>
      <c r="AW5" s="8">
        <v>32.106478125000002</v>
      </c>
      <c r="AX5" s="8">
        <v>44.181618749999998</v>
      </c>
      <c r="AY5" s="8">
        <v>43.773962499999897</v>
      </c>
      <c r="AZ5" s="9">
        <v>232.10900000000001</v>
      </c>
      <c r="BA5" s="9">
        <v>218.196</v>
      </c>
      <c r="BB5" s="9">
        <v>1047.1600000000001</v>
      </c>
      <c r="BC5" s="9">
        <v>9.718</v>
      </c>
      <c r="BE5" s="44">
        <f t="shared" ref="BE5:BE43" si="12">AI5/K5</f>
        <v>0.99998366973675623</v>
      </c>
      <c r="BF5" s="10" t="e">
        <f t="shared" ref="BF5:BF39" si="13">(AP5/AO5) - (R5/Q5)</f>
        <v>#DIV/0!</v>
      </c>
      <c r="BG5" s="10">
        <f t="shared" ref="BG5:BG39" si="14">(AL5/AQ5) - (N5/S5)</f>
        <v>5.8220189463353833E-4</v>
      </c>
      <c r="BH5" s="10">
        <f t="array" ref="BH5">AVERAGE(AL5:AL9/AQ5:AQ9) - AVERAGE(N5:N9/S5:S9)</f>
        <v>7.8971726468091141E-5</v>
      </c>
      <c r="BJ5" s="44">
        <f>IF( OR(ISBLANK(N5:N9),ISBLANK(AL5:AL9), ISBLANK(W5:W9),ISBLANK(AU5:AU9)), "·", bdRateExtend( N5:N9,W5:W9, AL5:AL9,AU5:AU9))</f>
        <v>-3.6048743456451593E-4</v>
      </c>
      <c r="BK5" s="44">
        <f>IF( OR(ISBLANK(N5:N9),ISBLANK(AL5:AL9), ISBLANK(X5:X9),ISBLANK(AV5:AV9)), "·", bdRateExtend( N5:N9,X5:X9, AL5:AL9,AV5:AV9))</f>
        <v>4.2679746121931927E-5</v>
      </c>
      <c r="BL5" s="44">
        <f>IF( OR(ISBLANK(V5:V9),ISBLANK(AT5:AT9), ISBLANK(Y5:Y9),ISBLANK(AW5:AW9)), "·", bdRateExtend( V5:V9,Y5:Y9, AT5:AT9,AW5:AW9))</f>
        <v>3.3609131201806086E-4</v>
      </c>
      <c r="BM5" s="44">
        <f>IF( OR(ISBLANK(V5:V9),ISBLANK(AT5:AT9), ISBLANK(Z5:Z9),ISBLANK(AX5:AX9)), "·", bdRateExtend( V5:V9,Z5:Z9, AT5:AT9,AX5:AX9))</f>
        <v>7.4230307085592084E-3</v>
      </c>
      <c r="BN5" s="44">
        <f>IF( OR(ISBLANK(V5:V9),ISBLANK(AT5:AT9), ISBLANK(AA5:AA9),ISBLANK(AY5:AY9)), "·", bdRateExtend( V5:V9,AA5:AA9, AT5:AT9,AY5:AY9))</f>
        <v>1.9239425040002978E-3</v>
      </c>
      <c r="BP5" s="44">
        <f>IF( OR(ISBLANK(S5:S9),ISBLANK(AQ5:AQ9), ISBLANK(W5:W9),ISBLANK(AU5:AU9)), "·", bdRateExtend( S5:S9,W5:W9, AQ5:AQ9,AU5:AU9))</f>
        <v>-4.9255373715206829E-4</v>
      </c>
      <c r="BQ5" s="44">
        <f>IF( OR(ISBLANK(S5:S9),ISBLANK(AQ5:AQ9), ISBLANK(X5:X9),ISBLANK(AV5:AV9)), "·", bdRateExtend( S5:S9,X5:X9, AQ5:AQ9,AV5:AV9))</f>
        <v>9.3950182706636909E-5</v>
      </c>
      <c r="BR5" s="44">
        <f>IF( OR(ISBLANK(S5:S9),ISBLANK(AQ5:AQ9), ISBLANK(Y5:Y9),ISBLANK(AW5:AW9)), "·", bdRateExtend( S5:S9,Y5:Y9, AQ5:AQ9,AW5:AW9))</f>
        <v>3.0084750474679289E-4</v>
      </c>
      <c r="BS5" s="44">
        <f>IF( OR(ISBLANK(S5:S9),ISBLANK(AQ5:AQ9), ISBLANK(Z5:Z9),ISBLANK(AX5:AX9)), "·", bdRateExtend( S5:S9,Z5:Z9, AQ5:AQ9,AX5:AX9))</f>
        <v>5.6918112265269549E-3</v>
      </c>
      <c r="BT5" s="44">
        <f>IF( OR(ISBLANK(S5:S9),ISBLANK(AQ5:AQ9), ISBLANK(AA5:AA9),ISBLANK(AY5:AY9)), "·", bdRateExtend( S5:S9,AA5:AA9, AQ5:AQ9,AY5:AY9))</f>
        <v>7.0374285841490192E-4</v>
      </c>
      <c r="BV5" s="51">
        <f t="shared" ref="BV5:BX39" si="15">(AB5-AZ5)/AB5</f>
        <v>0.4625725591529305</v>
      </c>
      <c r="BW5" s="51">
        <f t="shared" si="15"/>
        <v>0.46000579106147194</v>
      </c>
      <c r="BX5" s="51">
        <f t="shared" si="15"/>
        <v>0.27029720218807701</v>
      </c>
      <c r="BY5" s="51">
        <f>AVERAGE(BV5:BW5)</f>
        <v>0.46128917510720124</v>
      </c>
      <c r="BZ5" s="55"/>
      <c r="CA5" s="51"/>
      <c r="CC5" s="57"/>
    </row>
    <row r="6" spans="1:84" outlineLevel="1" x14ac:dyDescent="0.15">
      <c r="A6" s="11"/>
      <c r="B6" s="11" t="s">
        <v>17</v>
      </c>
      <c r="C6" s="12" t="s">
        <v>145</v>
      </c>
      <c r="D6" s="11">
        <v>238146391</v>
      </c>
      <c r="E6" s="12">
        <v>10</v>
      </c>
      <c r="F6" s="12">
        <v>32</v>
      </c>
      <c r="G6" s="12">
        <v>30</v>
      </c>
      <c r="I6" s="13">
        <f t="shared" si="0"/>
        <v>3.388665</v>
      </c>
      <c r="J6" s="14">
        <f t="shared" si="1"/>
        <v>1.5177958334040006E-2</v>
      </c>
      <c r="K6" s="14">
        <f t="shared" si="2"/>
        <v>7.5204498900006429E-3</v>
      </c>
      <c r="L6" s="14">
        <f t="shared" si="3"/>
        <v>4.8762611733217491E-3</v>
      </c>
      <c r="M6" s="14">
        <f t="shared" si="4"/>
        <v>7.6575084440393638E-3</v>
      </c>
      <c r="N6" s="11">
        <f t="shared" si="5"/>
        <v>1790968</v>
      </c>
      <c r="O6" s="14">
        <v>-12</v>
      </c>
      <c r="P6" s="15">
        <v>24147688</v>
      </c>
      <c r="Q6" s="15">
        <v>754615.25</v>
      </c>
      <c r="R6" s="15">
        <v>19012.03125</v>
      </c>
      <c r="S6" s="16">
        <v>3614576</v>
      </c>
      <c r="T6" s="16">
        <v>1161264</v>
      </c>
      <c r="U6" s="16">
        <v>629704</v>
      </c>
      <c r="V6" s="16">
        <v>1823608</v>
      </c>
      <c r="W6" s="17">
        <v>68.241949999999903</v>
      </c>
      <c r="X6" s="17">
        <v>70.429959374999996</v>
      </c>
      <c r="Y6" s="17">
        <v>34.357659374999997</v>
      </c>
      <c r="Z6" s="17">
        <v>45.4717531249999</v>
      </c>
      <c r="AA6" s="17">
        <v>45.224109374999998</v>
      </c>
      <c r="AB6" s="18">
        <v>463.45600000000002</v>
      </c>
      <c r="AC6" s="18">
        <v>410.53100000000001</v>
      </c>
      <c r="AD6" s="18">
        <v>1478.13</v>
      </c>
      <c r="AE6" s="18">
        <v>9.859</v>
      </c>
      <c r="AG6" s="13">
        <f t="shared" si="6"/>
        <v>3.3907574999999999</v>
      </c>
      <c r="AH6" s="14">
        <f t="shared" si="7"/>
        <v>1.518733072045589E-2</v>
      </c>
      <c r="AI6" s="14">
        <f t="shared" si="8"/>
        <v>7.5194085137322113E-3</v>
      </c>
      <c r="AJ6" s="14">
        <f t="shared" si="9"/>
        <v>4.8752197970533175E-3</v>
      </c>
      <c r="AK6" s="14">
        <f t="shared" si="10"/>
        <v>7.6679222067236787E-3</v>
      </c>
      <c r="AL6" s="11">
        <f t="shared" si="11"/>
        <v>1790720</v>
      </c>
      <c r="AM6" s="14">
        <v>-12</v>
      </c>
      <c r="AN6" s="15"/>
      <c r="AO6" s="15"/>
      <c r="AP6" s="15"/>
      <c r="AQ6" s="16">
        <v>3616808</v>
      </c>
      <c r="AR6" s="16">
        <v>1161016</v>
      </c>
      <c r="AS6" s="16">
        <v>629704</v>
      </c>
      <c r="AT6" s="16">
        <v>1826088</v>
      </c>
      <c r="AU6" s="17">
        <v>68.244209374999997</v>
      </c>
      <c r="AV6" s="17">
        <v>70.429593749999995</v>
      </c>
      <c r="AW6" s="17">
        <v>34.363515624999998</v>
      </c>
      <c r="AX6" s="17">
        <v>45.460137500000002</v>
      </c>
      <c r="AY6" s="17">
        <v>45.220278124999901</v>
      </c>
      <c r="AZ6" s="18">
        <v>260.17099999999999</v>
      </c>
      <c r="BA6" s="18">
        <v>229.56200000000001</v>
      </c>
      <c r="BB6" s="18">
        <v>1091.1400000000001</v>
      </c>
      <c r="BC6" s="18">
        <v>9.7810000000000006</v>
      </c>
      <c r="BE6" s="43">
        <f t="shared" si="12"/>
        <v>0.99986152739747447</v>
      </c>
      <c r="BF6" s="19" t="e">
        <f t="shared" si="13"/>
        <v>#DIV/0!</v>
      </c>
      <c r="BG6" s="19">
        <f t="shared" si="14"/>
        <v>-3.7434179615569718E-4</v>
      </c>
      <c r="BH6" s="19"/>
      <c r="BJ6" s="43"/>
      <c r="BK6" s="43"/>
      <c r="BL6" s="43"/>
      <c r="BM6" s="43"/>
      <c r="BN6" s="43"/>
      <c r="BP6" s="43"/>
      <c r="BQ6" s="43"/>
      <c r="BR6" s="43"/>
      <c r="BS6" s="43"/>
      <c r="BT6" s="43"/>
      <c r="BV6" s="51">
        <f t="shared" si="15"/>
        <v>0.43862847821583928</v>
      </c>
      <c r="BW6" s="51">
        <f t="shared" si="15"/>
        <v>0.44081689324314116</v>
      </c>
      <c r="BX6" s="51">
        <f t="shared" si="15"/>
        <v>0.26181053087346851</v>
      </c>
      <c r="BY6" s="51">
        <f t="shared" ref="BY6:BY39" si="16">AVERAGE(BV6:BW6)</f>
        <v>0.43972268572949025</v>
      </c>
      <c r="BZ6" s="55"/>
      <c r="CA6" s="51"/>
      <c r="CC6" s="57"/>
    </row>
    <row r="7" spans="1:84" outlineLevel="1" x14ac:dyDescent="0.15">
      <c r="A7" s="46"/>
      <c r="B7" s="46" t="s">
        <v>17</v>
      </c>
      <c r="C7" s="3" t="s">
        <v>146</v>
      </c>
      <c r="D7" s="46">
        <v>238146391</v>
      </c>
      <c r="E7" s="3">
        <v>10</v>
      </c>
      <c r="F7" s="3">
        <v>32</v>
      </c>
      <c r="G7" s="3">
        <v>30</v>
      </c>
      <c r="I7" s="4">
        <f t="shared" si="0"/>
        <v>5.5621875000000003</v>
      </c>
      <c r="J7" s="5">
        <f t="shared" si="1"/>
        <v>2.4913247583080108E-2</v>
      </c>
      <c r="K7" s="5">
        <f t="shared" si="2"/>
        <v>9.4649681254250044E-3</v>
      </c>
      <c r="L7" s="5">
        <f t="shared" si="3"/>
        <v>6.8207794087461106E-3</v>
      </c>
      <c r="M7" s="5">
        <f t="shared" si="4"/>
        <v>1.5448279457655102E-2</v>
      </c>
      <c r="N7" s="46">
        <f t="shared" si="5"/>
        <v>2254048</v>
      </c>
      <c r="O7" s="5">
        <v>-12</v>
      </c>
      <c r="P7" s="6">
        <v>24798303</v>
      </c>
      <c r="Q7" s="6">
        <v>774946.96875</v>
      </c>
      <c r="R7" s="6">
        <v>20946</v>
      </c>
      <c r="S7" s="7">
        <v>5933000</v>
      </c>
      <c r="T7" s="7">
        <v>1624344</v>
      </c>
      <c r="U7" s="7">
        <v>629704</v>
      </c>
      <c r="V7" s="7">
        <v>3678952</v>
      </c>
      <c r="W7" s="8">
        <v>69.679040624999999</v>
      </c>
      <c r="X7" s="8">
        <v>72.1286249999999</v>
      </c>
      <c r="Y7" s="8">
        <v>36.89405</v>
      </c>
      <c r="Z7" s="8">
        <v>46.603406249999999</v>
      </c>
      <c r="AA7" s="8">
        <v>46.480725</v>
      </c>
      <c r="AB7" s="9">
        <v>494.35500000000002</v>
      </c>
      <c r="AC7" s="9">
        <v>423.44600000000003</v>
      </c>
      <c r="AD7" s="9">
        <v>1530.16</v>
      </c>
      <c r="AE7" s="9">
        <v>9.7650000000000006</v>
      </c>
      <c r="AG7" s="4">
        <f t="shared" si="6"/>
        <v>5.5611825000000001</v>
      </c>
      <c r="AH7" s="5">
        <f t="shared" si="7"/>
        <v>2.4908746150177855E-2</v>
      </c>
      <c r="AI7" s="5">
        <f t="shared" si="8"/>
        <v>9.4638595635908665E-3</v>
      </c>
      <c r="AJ7" s="5">
        <f t="shared" si="9"/>
        <v>6.8196708469119736E-3</v>
      </c>
      <c r="AK7" s="5">
        <f t="shared" si="10"/>
        <v>1.5444886586586987E-2</v>
      </c>
      <c r="AL7" s="46">
        <f t="shared" si="11"/>
        <v>2253784</v>
      </c>
      <c r="AM7" s="5">
        <v>-12</v>
      </c>
      <c r="AN7" s="6"/>
      <c r="AO7" s="6"/>
      <c r="AP7" s="6"/>
      <c r="AQ7" s="7">
        <v>5931928</v>
      </c>
      <c r="AR7" s="7">
        <v>1624080</v>
      </c>
      <c r="AS7" s="7">
        <v>629704</v>
      </c>
      <c r="AT7" s="7">
        <v>3678144</v>
      </c>
      <c r="AU7" s="8">
        <v>69.680393749999993</v>
      </c>
      <c r="AV7" s="8">
        <v>72.127415624999998</v>
      </c>
      <c r="AW7" s="8">
        <v>36.890524999999997</v>
      </c>
      <c r="AX7" s="8">
        <v>46.587206250000001</v>
      </c>
      <c r="AY7" s="8">
        <v>46.464228124999998</v>
      </c>
      <c r="AZ7" s="9">
        <v>314.60500000000002</v>
      </c>
      <c r="BA7" s="9">
        <v>243.03</v>
      </c>
      <c r="BB7" s="9">
        <v>1162.92</v>
      </c>
      <c r="BC7" s="9">
        <v>9.843</v>
      </c>
      <c r="BE7" s="44">
        <f t="shared" si="12"/>
        <v>0.99988287738326764</v>
      </c>
      <c r="BF7" s="10" t="e">
        <f t="shared" si="13"/>
        <v>#DIV/0!</v>
      </c>
      <c r="BG7" s="10">
        <f t="shared" si="14"/>
        <v>2.4152535789412344E-5</v>
      </c>
      <c r="BH7" s="10"/>
      <c r="BJ7" s="44"/>
      <c r="BK7" s="44"/>
      <c r="BL7" s="44"/>
      <c r="BM7" s="44"/>
      <c r="BN7" s="44"/>
      <c r="BP7" s="44"/>
      <c r="BQ7" s="44"/>
      <c r="BR7" s="44"/>
      <c r="BS7" s="44"/>
      <c r="BT7" s="44"/>
      <c r="BV7" s="51">
        <f t="shared" si="15"/>
        <v>0.36360510159703047</v>
      </c>
      <c r="BW7" s="51">
        <f t="shared" si="15"/>
        <v>0.42606613358019679</v>
      </c>
      <c r="BX7" s="51">
        <f t="shared" si="15"/>
        <v>0.24000104564228578</v>
      </c>
      <c r="BY7" s="51">
        <f t="shared" si="16"/>
        <v>0.39483561758861363</v>
      </c>
      <c r="BZ7" s="55"/>
      <c r="CA7" s="51"/>
      <c r="CC7" s="57"/>
    </row>
    <row r="8" spans="1:84" outlineLevel="1" x14ac:dyDescent="0.15">
      <c r="A8" s="11"/>
      <c r="B8" s="11" t="s">
        <v>17</v>
      </c>
      <c r="C8" s="12" t="s">
        <v>147</v>
      </c>
      <c r="D8" s="11">
        <v>238146391</v>
      </c>
      <c r="E8" s="12">
        <v>10</v>
      </c>
      <c r="F8" s="12">
        <v>32</v>
      </c>
      <c r="G8" s="12">
        <v>30</v>
      </c>
      <c r="I8" s="13">
        <f t="shared" si="0"/>
        <v>9.4267649999999996</v>
      </c>
      <c r="J8" s="14">
        <f t="shared" si="1"/>
        <v>4.2222835953033611E-2</v>
      </c>
      <c r="K8" s="14">
        <f t="shared" si="2"/>
        <v>1.2729682726957639E-2</v>
      </c>
      <c r="L8" s="14">
        <f t="shared" si="3"/>
        <v>1.0085494010278745E-2</v>
      </c>
      <c r="M8" s="14">
        <f t="shared" si="4"/>
        <v>2.9493153226075972E-2</v>
      </c>
      <c r="N8" s="11">
        <f t="shared" si="5"/>
        <v>3031528</v>
      </c>
      <c r="O8" s="14">
        <v>-12</v>
      </c>
      <c r="P8" s="15">
        <v>25806958</v>
      </c>
      <c r="Q8" s="15">
        <v>806467.4375</v>
      </c>
      <c r="R8" s="15">
        <v>24305.84375</v>
      </c>
      <c r="S8" s="16">
        <v>10055216</v>
      </c>
      <c r="T8" s="16">
        <v>2401824</v>
      </c>
      <c r="U8" s="16">
        <v>629704</v>
      </c>
      <c r="V8" s="16">
        <v>7023688</v>
      </c>
      <c r="W8" s="17">
        <v>70.829490625000005</v>
      </c>
      <c r="X8" s="17">
        <v>73.399412499999997</v>
      </c>
      <c r="Y8" s="17">
        <v>39.521596875</v>
      </c>
      <c r="Z8" s="17">
        <v>47.923753124999998</v>
      </c>
      <c r="AA8" s="17">
        <v>47.9429374999999</v>
      </c>
      <c r="AB8" s="18">
        <v>535.47900000000004</v>
      </c>
      <c r="AC8" s="18">
        <v>446.67</v>
      </c>
      <c r="AD8" s="18">
        <v>1586.61</v>
      </c>
      <c r="AE8" s="18">
        <v>9.875</v>
      </c>
      <c r="AG8" s="13">
        <f t="shared" si="6"/>
        <v>9.4197299999999995</v>
      </c>
      <c r="AH8" s="14">
        <f t="shared" si="7"/>
        <v>4.2191325922717848E-2</v>
      </c>
      <c r="AI8" s="14">
        <f t="shared" si="8"/>
        <v>1.2724979737358271E-2</v>
      </c>
      <c r="AJ8" s="14">
        <f t="shared" si="9"/>
        <v>1.0080791020679377E-2</v>
      </c>
      <c r="AK8" s="14">
        <f t="shared" si="10"/>
        <v>2.9466346185359576E-2</v>
      </c>
      <c r="AL8" s="11">
        <f t="shared" si="11"/>
        <v>3030408</v>
      </c>
      <c r="AM8" s="14">
        <v>-12</v>
      </c>
      <c r="AN8" s="15"/>
      <c r="AO8" s="15"/>
      <c r="AP8" s="15"/>
      <c r="AQ8" s="16">
        <v>10047712</v>
      </c>
      <c r="AR8" s="16">
        <v>2400704</v>
      </c>
      <c r="AS8" s="16">
        <v>629704</v>
      </c>
      <c r="AT8" s="16">
        <v>7017304</v>
      </c>
      <c r="AU8" s="17">
        <v>70.829393749999994</v>
      </c>
      <c r="AV8" s="17">
        <v>73.399718750000005</v>
      </c>
      <c r="AW8" s="17">
        <v>39.515215624999897</v>
      </c>
      <c r="AX8" s="17">
        <v>47.900399999999898</v>
      </c>
      <c r="AY8" s="17">
        <v>47.957059375</v>
      </c>
      <c r="AZ8" s="18">
        <v>375.76400000000001</v>
      </c>
      <c r="BA8" s="18">
        <v>273.536</v>
      </c>
      <c r="BB8" s="18">
        <v>1252.75</v>
      </c>
      <c r="BC8" s="18">
        <v>9.8279999999999994</v>
      </c>
      <c r="BE8" s="43">
        <f t="shared" si="12"/>
        <v>0.99963054934673201</v>
      </c>
      <c r="BF8" s="19" t="e">
        <f t="shared" si="13"/>
        <v>#DIV/0!</v>
      </c>
      <c r="BG8" s="19">
        <f t="shared" si="14"/>
        <v>1.1369421487000819E-4</v>
      </c>
      <c r="BH8" s="19"/>
      <c r="BJ8" s="43"/>
      <c r="BK8" s="43"/>
      <c r="BL8" s="43"/>
      <c r="BM8" s="43"/>
      <c r="BN8" s="43"/>
      <c r="BP8" s="43"/>
      <c r="BQ8" s="43"/>
      <c r="BR8" s="43"/>
      <c r="BS8" s="43"/>
      <c r="BT8" s="43"/>
      <c r="BV8" s="51">
        <f t="shared" si="15"/>
        <v>0.29826566494671131</v>
      </c>
      <c r="BW8" s="51">
        <f t="shared" si="15"/>
        <v>0.38761054021984914</v>
      </c>
      <c r="BX8" s="51">
        <f t="shared" si="15"/>
        <v>0.21042348151089424</v>
      </c>
      <c r="BY8" s="51">
        <f t="shared" si="16"/>
        <v>0.34293810258328022</v>
      </c>
      <c r="BZ8" s="55"/>
      <c r="CA8" s="51"/>
      <c r="CC8" s="57"/>
    </row>
    <row r="9" spans="1:84" ht="14.25" outlineLevel="1" thickBot="1" x14ac:dyDescent="0.2">
      <c r="A9" s="46"/>
      <c r="B9" s="20" t="s">
        <v>17</v>
      </c>
      <c r="C9" s="21" t="s">
        <v>148</v>
      </c>
      <c r="D9" s="20">
        <v>238146391</v>
      </c>
      <c r="E9" s="21">
        <v>10</v>
      </c>
      <c r="F9" s="21">
        <v>32</v>
      </c>
      <c r="G9" s="21">
        <v>30</v>
      </c>
      <c r="I9" s="22">
        <f t="shared" si="0"/>
        <v>16.8055275</v>
      </c>
      <c r="J9" s="23">
        <f t="shared" si="1"/>
        <v>7.5272591470848707E-2</v>
      </c>
      <c r="K9" s="23">
        <f t="shared" si="2"/>
        <v>2.0658352114183414E-2</v>
      </c>
      <c r="L9" s="23">
        <f t="shared" si="3"/>
        <v>1.5548050022727408E-2</v>
      </c>
      <c r="M9" s="23">
        <f t="shared" si="4"/>
        <v>5.461423935666529E-2</v>
      </c>
      <c r="N9" s="20">
        <f t="shared" si="5"/>
        <v>4919712</v>
      </c>
      <c r="O9" s="23">
        <v>-12</v>
      </c>
      <c r="P9" s="24">
        <v>24863702</v>
      </c>
      <c r="Q9" s="24">
        <v>776990.6875</v>
      </c>
      <c r="R9" s="24">
        <v>10657.0625</v>
      </c>
      <c r="S9" s="25">
        <v>17925896</v>
      </c>
      <c r="T9" s="25">
        <v>3702712</v>
      </c>
      <c r="U9" s="25">
        <v>1217000</v>
      </c>
      <c r="V9" s="25">
        <v>13006184</v>
      </c>
      <c r="W9" s="26">
        <v>71.945081250000001</v>
      </c>
      <c r="X9" s="26">
        <v>75.324081250000006</v>
      </c>
      <c r="Y9" s="26">
        <v>42.094303124999897</v>
      </c>
      <c r="Z9" s="26">
        <v>49.4176312499999</v>
      </c>
      <c r="AA9" s="26">
        <v>49.554403125</v>
      </c>
      <c r="AB9" s="27">
        <v>570.01099999999997</v>
      </c>
      <c r="AC9" s="27">
        <v>493.15699999999998</v>
      </c>
      <c r="AD9" s="27">
        <v>1681.13</v>
      </c>
      <c r="AE9" s="27">
        <v>9.859</v>
      </c>
      <c r="AG9" s="22">
        <f t="shared" si="6"/>
        <v>16.804950000000002</v>
      </c>
      <c r="AH9" s="23">
        <f t="shared" si="7"/>
        <v>7.5270004826569051E-2</v>
      </c>
      <c r="AI9" s="23">
        <f t="shared" si="8"/>
        <v>2.0661341871857298E-2</v>
      </c>
      <c r="AJ9" s="23">
        <f t="shared" si="9"/>
        <v>1.5551039780401291E-2</v>
      </c>
      <c r="AK9" s="23">
        <f t="shared" si="10"/>
        <v>5.4608662954711749E-2</v>
      </c>
      <c r="AL9" s="20">
        <f t="shared" si="11"/>
        <v>4920424</v>
      </c>
      <c r="AM9" s="23">
        <v>-12</v>
      </c>
      <c r="AN9" s="24"/>
      <c r="AO9" s="24"/>
      <c r="AP9" s="24"/>
      <c r="AQ9" s="25">
        <v>17925280</v>
      </c>
      <c r="AR9" s="25">
        <v>3703424</v>
      </c>
      <c r="AS9" s="25">
        <v>1217000</v>
      </c>
      <c r="AT9" s="25">
        <v>13004856</v>
      </c>
      <c r="AU9" s="26">
        <v>71.946696875000001</v>
      </c>
      <c r="AV9" s="26">
        <v>75.318159374999993</v>
      </c>
      <c r="AW9" s="26">
        <v>42.0893625</v>
      </c>
      <c r="AX9" s="26">
        <v>49.415993749999998</v>
      </c>
      <c r="AY9" s="26">
        <v>49.556818749999998</v>
      </c>
      <c r="AZ9" s="27">
        <v>490.96499999999997</v>
      </c>
      <c r="BA9" s="27">
        <v>369.78300000000002</v>
      </c>
      <c r="BB9" s="27">
        <v>1478.27</v>
      </c>
      <c r="BC9" s="27">
        <v>9.875</v>
      </c>
      <c r="BE9" s="28">
        <f t="shared" si="12"/>
        <v>1.0001447239187986</v>
      </c>
      <c r="BF9" s="29" t="e">
        <f t="shared" si="13"/>
        <v>#DIV/0!</v>
      </c>
      <c r="BG9" s="29">
        <f t="shared" si="14"/>
        <v>4.9151783203027488E-5</v>
      </c>
      <c r="BH9" s="29"/>
      <c r="BJ9" s="28"/>
      <c r="BK9" s="28"/>
      <c r="BL9" s="28"/>
      <c r="BM9" s="28"/>
      <c r="BN9" s="28"/>
      <c r="BP9" s="28"/>
      <c r="BQ9" s="28"/>
      <c r="BR9" s="28"/>
      <c r="BS9" s="28"/>
      <c r="BT9" s="28"/>
      <c r="BV9" s="51">
        <f t="shared" si="15"/>
        <v>0.13867451680757037</v>
      </c>
      <c r="BW9" s="51">
        <f t="shared" si="15"/>
        <v>0.25017185196600672</v>
      </c>
      <c r="BX9" s="51">
        <f t="shared" si="15"/>
        <v>0.12066883584255834</v>
      </c>
      <c r="BY9" s="51">
        <f t="shared" si="16"/>
        <v>0.19442318438678854</v>
      </c>
      <c r="BZ9" s="55">
        <f>AVERAGE(BV5:BV9)</f>
        <v>0.34034926414401639</v>
      </c>
      <c r="CA9" s="51">
        <f>AVERAGE(BW5:BW9)</f>
        <v>0.39293424201413318</v>
      </c>
      <c r="CB9" s="51">
        <f>AVERAGE(BX5:BX9)</f>
        <v>0.22064021921145677</v>
      </c>
      <c r="CC9" s="58">
        <f>AVERAGE(BY5:BY9)</f>
        <v>0.36664175307907476</v>
      </c>
      <c r="CD9" s="51">
        <f>(SUM(AB5:AB9)-SUM(AZ5:AZ9))/SUM(AB5:AB9)</f>
        <v>0.32926390375081666</v>
      </c>
      <c r="CE9" s="51">
        <f>(SUM(AC5:AC9)-SUM(BA5:BA9))/SUM(AC5:AC9)</f>
        <v>0.38742719393904623</v>
      </c>
      <c r="CF9" s="51">
        <f>(SUM(AB5:AC9)-SUM(AZ5:BA9))/SUM(AB5:AC9)</f>
        <v>0.35637081872389959</v>
      </c>
    </row>
    <row r="10" spans="1:84" x14ac:dyDescent="0.15">
      <c r="A10" s="11"/>
      <c r="B10" s="11" t="s">
        <v>20</v>
      </c>
      <c r="C10" s="12" t="s">
        <v>144</v>
      </c>
      <c r="D10" s="11">
        <v>218121242</v>
      </c>
      <c r="E10" s="12">
        <v>10</v>
      </c>
      <c r="F10" s="12">
        <v>32</v>
      </c>
      <c r="G10" s="12">
        <v>30</v>
      </c>
      <c r="I10" s="13">
        <f t="shared" si="0"/>
        <v>3.1803675</v>
      </c>
      <c r="J10" s="14">
        <f t="shared" si="1"/>
        <v>1.555278142052758E-2</v>
      </c>
      <c r="K10" s="14">
        <f t="shared" si="2"/>
        <v>8.0389419385389349E-3</v>
      </c>
      <c r="L10" s="14">
        <f t="shared" si="3"/>
        <v>4.2751636266586089E-3</v>
      </c>
      <c r="M10" s="14">
        <f t="shared" si="4"/>
        <v>7.5138394819886456E-3</v>
      </c>
      <c r="N10" s="11">
        <f t="shared" si="5"/>
        <v>1753464</v>
      </c>
      <c r="O10" s="14">
        <v>-12</v>
      </c>
      <c r="P10" s="15">
        <v>20646708</v>
      </c>
      <c r="Q10" s="15">
        <v>645209.625</v>
      </c>
      <c r="R10" s="15">
        <v>18054.21875</v>
      </c>
      <c r="S10" s="16">
        <v>3392392</v>
      </c>
      <c r="T10" s="16">
        <v>932504</v>
      </c>
      <c r="U10" s="16">
        <v>820960</v>
      </c>
      <c r="V10" s="16">
        <v>1638928</v>
      </c>
      <c r="W10" s="17">
        <v>65.886574999999993</v>
      </c>
      <c r="X10" s="17">
        <v>67.829274999999996</v>
      </c>
      <c r="Y10" s="17">
        <v>32.394371874999898</v>
      </c>
      <c r="Z10" s="17">
        <v>39.164603124999999</v>
      </c>
      <c r="AA10" s="17">
        <v>32.094328124999997</v>
      </c>
      <c r="AB10" s="18">
        <v>466.02199999999999</v>
      </c>
      <c r="AC10" s="18">
        <v>427.16</v>
      </c>
      <c r="AD10" s="18">
        <v>1481.38</v>
      </c>
      <c r="AE10" s="18">
        <v>10.484</v>
      </c>
      <c r="AG10" s="13">
        <f t="shared" si="6"/>
        <v>3.1799400000000002</v>
      </c>
      <c r="AH10" s="14">
        <f t="shared" si="7"/>
        <v>1.5550690840097086E-2</v>
      </c>
      <c r="AI10" s="14">
        <f t="shared" si="8"/>
        <v>8.0329636120447176E-3</v>
      </c>
      <c r="AJ10" s="14">
        <f t="shared" si="9"/>
        <v>4.2691853001643925E-3</v>
      </c>
      <c r="AK10" s="14">
        <f t="shared" si="10"/>
        <v>7.5177272280523687E-3</v>
      </c>
      <c r="AL10" s="11">
        <f t="shared" si="11"/>
        <v>1752160</v>
      </c>
      <c r="AM10" s="14">
        <v>-12</v>
      </c>
      <c r="AN10" s="15"/>
      <c r="AO10" s="15"/>
      <c r="AP10" s="15"/>
      <c r="AQ10" s="16">
        <v>3391936</v>
      </c>
      <c r="AR10" s="16">
        <v>931200</v>
      </c>
      <c r="AS10" s="16">
        <v>820960</v>
      </c>
      <c r="AT10" s="16">
        <v>1639776</v>
      </c>
      <c r="AU10" s="17">
        <v>65.883600000000001</v>
      </c>
      <c r="AV10" s="17">
        <v>67.828871875000004</v>
      </c>
      <c r="AW10" s="17">
        <v>32.39034375</v>
      </c>
      <c r="AX10" s="17">
        <v>39.171834374999897</v>
      </c>
      <c r="AY10" s="17">
        <v>32.099443749999899</v>
      </c>
      <c r="AZ10" s="18">
        <v>264.053</v>
      </c>
      <c r="BA10" s="18">
        <v>229.34899999999999</v>
      </c>
      <c r="BB10" s="18">
        <v>1080</v>
      </c>
      <c r="BC10" s="18">
        <v>10.545999999999999</v>
      </c>
      <c r="BE10" s="43">
        <f t="shared" si="12"/>
        <v>0.99925632918611373</v>
      </c>
      <c r="BF10" s="19" t="e">
        <f t="shared" si="13"/>
        <v>#DIV/0!</v>
      </c>
      <c r="BG10" s="19">
        <f t="shared" si="14"/>
        <v>-3.1495350309140857E-4</v>
      </c>
      <c r="BH10" s="19">
        <f t="array" ref="BH10">AVERAGE(AL10:AL14/AQ10:AQ14) - AVERAGE(N10:N14/S10:S14)</f>
        <v>-2.6759225120742691E-5</v>
      </c>
      <c r="BJ10" s="43">
        <f>IF( OR(ISBLANK(N10:N14),ISBLANK(AL10:AL14), ISBLANK(W10:W14),ISBLANK(AU10:AU14)), "·", bdRateExtend( N10:N14,W10:W14, AL10:AL14,AU10:AU14))</f>
        <v>-2.673079145151247E-4</v>
      </c>
      <c r="BK10" s="43">
        <f>IF( OR(ISBLANK(N10:N14),ISBLANK(AL10:AL14), ISBLANK(X10:X14),ISBLANK(AV10:AV14)), "·", bdRateExtend( N10:N14,X10:X14, AL10:AL14,AV10:AV14))</f>
        <v>-2.0415438915166728E-4</v>
      </c>
      <c r="BL10" s="43">
        <f>IF( OR(ISBLANK(V10:V14),ISBLANK(AT10:AT14), ISBLANK(Y10:Y14),ISBLANK(AW10:AW14)), "·", bdRateExtend( V10:V14,Y10:Y14, AT10:AT14,AW10:AW14))</f>
        <v>-4.033764020802133E-4</v>
      </c>
      <c r="BM10" s="43">
        <f>IF( OR(ISBLANK(V10:V14),ISBLANK(AT10:AT14), ISBLANK(Z10:Z14),ISBLANK(AX10:AX14)), "·", bdRateExtend( V10:V14,Z10:Z14, AT10:AT14,AX10:AX14))</f>
        <v>-4.4051606211948924E-3</v>
      </c>
      <c r="BN10" s="43">
        <f>IF( OR(ISBLANK(V10:V14),ISBLANK(AT10:AT14), ISBLANK(AA10:AA14),ISBLANK(AY10:AY14)), "·", bdRateExtend( V10:V14,AA10:AA14, AT10:AT14,AY10:AY14))</f>
        <v>2.2042823599834893E-3</v>
      </c>
      <c r="BP10" s="43">
        <f>IF( OR(ISBLANK(S10:S14),ISBLANK(AQ10:AQ14), ISBLANK(W10:W14),ISBLANK(AU10:AU14)), "·", bdRateExtend( S10:S14,W10:W14, AQ10:AQ14,AU10:AU14))</f>
        <v>-2.2849134413982508E-4</v>
      </c>
      <c r="BQ10" s="43">
        <f>IF( OR(ISBLANK(S10:S14),ISBLANK(AQ10:AQ14), ISBLANK(X10:X14),ISBLANK(AV10:AV14)), "·", bdRateExtend( S10:S14,X10:X14, AQ10:AQ14,AV10:AV14))</f>
        <v>-2.807067968597643E-4</v>
      </c>
      <c r="BR10" s="43">
        <f>IF( OR(ISBLANK(S10:S14),ISBLANK(AQ10:AQ14), ISBLANK(Y10:Y14),ISBLANK(AW10:AW14)), "·", bdRateExtend( S10:S14,Y10:Y14, AQ10:AQ14,AW10:AW14))</f>
        <v>-3.7675721353980229E-4</v>
      </c>
      <c r="BS10" s="43">
        <f>IF( OR(ISBLANK(S10:S14),ISBLANK(AQ10:AQ14), ISBLANK(Z10:Z14),ISBLANK(AX10:AX14)), "·", bdRateExtend( S10:S14,Z10:Z14, AQ10:AQ14,AX10:AX14))</f>
        <v>-3.1823035117859444E-3</v>
      </c>
      <c r="BT10" s="43">
        <f>IF( OR(ISBLANK(S10:S14),ISBLANK(AQ10:AQ14), ISBLANK(AA10:AA14),ISBLANK(AY10:AY14)), "·", bdRateExtend( S10:S14,AA10:AA14, AQ10:AQ14,AY10:AY14))</f>
        <v>1.6902782695167318E-3</v>
      </c>
      <c r="BV10" s="51">
        <f t="shared" si="15"/>
        <v>0.43338941080034848</v>
      </c>
      <c r="BW10" s="51">
        <f t="shared" si="15"/>
        <v>0.46308409027062464</v>
      </c>
      <c r="BX10" s="51">
        <f t="shared" si="15"/>
        <v>0.27095006007911548</v>
      </c>
      <c r="BY10" s="51">
        <f t="shared" si="16"/>
        <v>0.44823675053548656</v>
      </c>
      <c r="BZ10" s="55"/>
      <c r="CA10" s="51"/>
      <c r="CC10" s="57"/>
    </row>
    <row r="11" spans="1:84" outlineLevel="1" x14ac:dyDescent="0.15">
      <c r="A11" s="46"/>
      <c r="B11" s="46" t="s">
        <v>20</v>
      </c>
      <c r="C11" s="3" t="s">
        <v>145</v>
      </c>
      <c r="D11" s="46">
        <v>218121242</v>
      </c>
      <c r="E11" s="3">
        <v>10</v>
      </c>
      <c r="F11" s="3">
        <v>32</v>
      </c>
      <c r="G11" s="3">
        <v>30</v>
      </c>
      <c r="I11" s="4">
        <f t="shared" si="0"/>
        <v>4.5974775000000001</v>
      </c>
      <c r="J11" s="5">
        <f t="shared" si="1"/>
        <v>2.2482798809663848E-2</v>
      </c>
      <c r="K11" s="5">
        <f t="shared" si="2"/>
        <v>9.7882442829662596E-3</v>
      </c>
      <c r="L11" s="5">
        <f t="shared" si="3"/>
        <v>6.0244659710859336E-3</v>
      </c>
      <c r="M11" s="5">
        <f t="shared" si="4"/>
        <v>1.2694554526697589E-2</v>
      </c>
      <c r="N11" s="46">
        <f t="shared" si="5"/>
        <v>2135024</v>
      </c>
      <c r="O11" s="5">
        <v>-12</v>
      </c>
      <c r="P11" s="6">
        <v>22133832</v>
      </c>
      <c r="Q11" s="6">
        <v>691682.25</v>
      </c>
      <c r="R11" s="6">
        <v>23047.09375</v>
      </c>
      <c r="S11" s="7">
        <v>4903976</v>
      </c>
      <c r="T11" s="7">
        <v>1314064</v>
      </c>
      <c r="U11" s="7">
        <v>820960</v>
      </c>
      <c r="V11" s="7">
        <v>2768952</v>
      </c>
      <c r="W11" s="8">
        <v>67.609459374999901</v>
      </c>
      <c r="X11" s="8">
        <v>69.693121874999903</v>
      </c>
      <c r="Y11" s="8">
        <v>34.251906249999998</v>
      </c>
      <c r="Z11" s="8">
        <v>40.012206249999899</v>
      </c>
      <c r="AA11" s="8">
        <v>33.863571874999998</v>
      </c>
      <c r="AB11" s="9">
        <v>490.67200000000003</v>
      </c>
      <c r="AC11" s="9">
        <v>439.33600000000001</v>
      </c>
      <c r="AD11" s="9">
        <v>1520.53</v>
      </c>
      <c r="AE11" s="9">
        <v>10.484</v>
      </c>
      <c r="AG11" s="4">
        <f t="shared" si="6"/>
        <v>4.5988125000000002</v>
      </c>
      <c r="AH11" s="5">
        <f t="shared" si="7"/>
        <v>2.2489327288902929E-2</v>
      </c>
      <c r="AI11" s="5">
        <f t="shared" si="8"/>
        <v>9.7853834886929541E-3</v>
      </c>
      <c r="AJ11" s="5">
        <f t="shared" si="9"/>
        <v>6.0216051768126281E-3</v>
      </c>
      <c r="AK11" s="5">
        <f t="shared" si="10"/>
        <v>1.2703943800209977E-2</v>
      </c>
      <c r="AL11" s="46">
        <f t="shared" si="11"/>
        <v>2134400</v>
      </c>
      <c r="AM11" s="5">
        <v>-12</v>
      </c>
      <c r="AN11" s="6"/>
      <c r="AO11" s="6"/>
      <c r="AP11" s="6"/>
      <c r="AQ11" s="7">
        <v>4905400</v>
      </c>
      <c r="AR11" s="7">
        <v>1313440</v>
      </c>
      <c r="AS11" s="7">
        <v>820960</v>
      </c>
      <c r="AT11" s="7">
        <v>2771000</v>
      </c>
      <c r="AU11" s="8">
        <v>67.610024999999993</v>
      </c>
      <c r="AV11" s="8">
        <v>69.69265</v>
      </c>
      <c r="AW11" s="8">
        <v>34.255512500000002</v>
      </c>
      <c r="AX11" s="8">
        <v>40.044615624999899</v>
      </c>
      <c r="AY11" s="8">
        <v>33.849981249999999</v>
      </c>
      <c r="AZ11" s="9">
        <v>288.767</v>
      </c>
      <c r="BA11" s="9">
        <v>243.661</v>
      </c>
      <c r="BB11" s="9">
        <v>1121.47</v>
      </c>
      <c r="BC11" s="9">
        <v>10.25</v>
      </c>
      <c r="BE11" s="44">
        <f t="shared" si="12"/>
        <v>0.99970773162268911</v>
      </c>
      <c r="BF11" s="10" t="e">
        <f t="shared" si="13"/>
        <v>#DIV/0!</v>
      </c>
      <c r="BG11" s="10">
        <f t="shared" si="14"/>
        <v>-2.5359013809900244E-4</v>
      </c>
      <c r="BH11" s="10"/>
      <c r="BJ11" s="44"/>
      <c r="BK11" s="44"/>
      <c r="BL11" s="44"/>
      <c r="BM11" s="44"/>
      <c r="BN11" s="44"/>
      <c r="BP11" s="44"/>
      <c r="BQ11" s="44"/>
      <c r="BR11" s="44"/>
      <c r="BS11" s="44"/>
      <c r="BT11" s="44"/>
      <c r="BV11" s="51">
        <f t="shared" si="15"/>
        <v>0.41148669579678487</v>
      </c>
      <c r="BW11" s="51">
        <f t="shared" si="15"/>
        <v>0.44538804013329208</v>
      </c>
      <c r="BX11" s="51">
        <f t="shared" si="15"/>
        <v>0.26244796222369826</v>
      </c>
      <c r="BY11" s="51">
        <f t="shared" si="16"/>
        <v>0.42843736796503851</v>
      </c>
      <c r="BZ11" s="55"/>
      <c r="CA11" s="51"/>
      <c r="CC11" s="57"/>
    </row>
    <row r="12" spans="1:84" outlineLevel="1" x14ac:dyDescent="0.15">
      <c r="A12" s="11"/>
      <c r="B12" s="11" t="s">
        <v>20</v>
      </c>
      <c r="C12" s="12" t="s">
        <v>146</v>
      </c>
      <c r="D12" s="11">
        <v>218121242</v>
      </c>
      <c r="E12" s="12">
        <v>10</v>
      </c>
      <c r="F12" s="12">
        <v>32</v>
      </c>
      <c r="G12" s="12">
        <v>30</v>
      </c>
      <c r="I12" s="13">
        <f t="shared" si="0"/>
        <v>7.1139150000000004</v>
      </c>
      <c r="J12" s="14">
        <f t="shared" si="1"/>
        <v>3.4788798791087025E-2</v>
      </c>
      <c r="K12" s="14">
        <f t="shared" si="2"/>
        <v>1.2487220295582215E-2</v>
      </c>
      <c r="L12" s="14">
        <f t="shared" si="3"/>
        <v>8.7234419837018892E-3</v>
      </c>
      <c r="M12" s="14">
        <f t="shared" si="4"/>
        <v>2.2301578495504806E-2</v>
      </c>
      <c r="N12" s="11">
        <f t="shared" si="5"/>
        <v>2723728</v>
      </c>
      <c r="O12" s="14">
        <v>-12</v>
      </c>
      <c r="P12" s="15">
        <v>22504730</v>
      </c>
      <c r="Q12" s="15">
        <v>703272.8125</v>
      </c>
      <c r="R12" s="15">
        <v>24737.1875</v>
      </c>
      <c r="S12" s="16">
        <v>7588176</v>
      </c>
      <c r="T12" s="16">
        <v>1902768</v>
      </c>
      <c r="U12" s="16">
        <v>820960</v>
      </c>
      <c r="V12" s="16">
        <v>4864448</v>
      </c>
      <c r="W12" s="17">
        <v>68.953246874999905</v>
      </c>
      <c r="X12" s="17">
        <v>71.331493749999893</v>
      </c>
      <c r="Y12" s="17">
        <v>36.335381249999998</v>
      </c>
      <c r="Z12" s="17">
        <v>40.939156249999897</v>
      </c>
      <c r="AA12" s="17">
        <v>35.640265624999898</v>
      </c>
      <c r="AB12" s="18">
        <v>517.66099999999994</v>
      </c>
      <c r="AC12" s="18">
        <v>451.67700000000002</v>
      </c>
      <c r="AD12" s="18">
        <v>1558.5</v>
      </c>
      <c r="AE12" s="18">
        <v>10.39</v>
      </c>
      <c r="AG12" s="13">
        <f t="shared" si="6"/>
        <v>7.1097599999999996</v>
      </c>
      <c r="AH12" s="14">
        <f t="shared" si="7"/>
        <v>3.4768479816376617E-2</v>
      </c>
      <c r="AI12" s="14">
        <f t="shared" si="8"/>
        <v>1.2484139440210963E-2</v>
      </c>
      <c r="AJ12" s="14">
        <f t="shared" si="9"/>
        <v>8.7203611283306372E-3</v>
      </c>
      <c r="AK12" s="14">
        <f t="shared" si="10"/>
        <v>2.2284340376165654E-2</v>
      </c>
      <c r="AL12" s="11">
        <f t="shared" si="11"/>
        <v>2723056</v>
      </c>
      <c r="AM12" s="14">
        <v>-12</v>
      </c>
      <c r="AN12" s="15"/>
      <c r="AO12" s="15"/>
      <c r="AP12" s="15"/>
      <c r="AQ12" s="16">
        <v>7583744</v>
      </c>
      <c r="AR12" s="16">
        <v>1902096</v>
      </c>
      <c r="AS12" s="16">
        <v>820960</v>
      </c>
      <c r="AT12" s="16">
        <v>4860688</v>
      </c>
      <c r="AU12" s="17">
        <v>68.953103124999998</v>
      </c>
      <c r="AV12" s="17">
        <v>71.331278124999898</v>
      </c>
      <c r="AW12" s="17">
        <v>36.335721874999997</v>
      </c>
      <c r="AX12" s="17">
        <v>40.934840625</v>
      </c>
      <c r="AY12" s="17">
        <v>35.628028125</v>
      </c>
      <c r="AZ12" s="18">
        <v>339.41399999999999</v>
      </c>
      <c r="BA12" s="18">
        <v>265.64600000000002</v>
      </c>
      <c r="BB12" s="18">
        <v>1196.97</v>
      </c>
      <c r="BC12" s="18">
        <v>10.702999999999999</v>
      </c>
      <c r="BE12" s="43">
        <f t="shared" si="12"/>
        <v>0.99975327932891978</v>
      </c>
      <c r="BF12" s="19" t="e">
        <f t="shared" si="13"/>
        <v>#DIV/0!</v>
      </c>
      <c r="BG12" s="19">
        <f t="shared" si="14"/>
        <v>1.2115895474612559E-4</v>
      </c>
      <c r="BH12" s="19"/>
      <c r="BJ12" s="43"/>
      <c r="BK12" s="43"/>
      <c r="BL12" s="43"/>
      <c r="BM12" s="43"/>
      <c r="BN12" s="43"/>
      <c r="BP12" s="43"/>
      <c r="BQ12" s="43"/>
      <c r="BR12" s="43"/>
      <c r="BS12" s="43"/>
      <c r="BT12" s="43"/>
      <c r="BV12" s="51">
        <f t="shared" si="15"/>
        <v>0.34433152198060119</v>
      </c>
      <c r="BW12" s="51">
        <f t="shared" si="15"/>
        <v>0.41186732997252462</v>
      </c>
      <c r="BX12" s="51">
        <f t="shared" si="15"/>
        <v>0.23197305101058707</v>
      </c>
      <c r="BY12" s="51">
        <f t="shared" si="16"/>
        <v>0.37809942597656288</v>
      </c>
      <c r="BZ12" s="55"/>
      <c r="CA12" s="51"/>
      <c r="CC12" s="57"/>
    </row>
    <row r="13" spans="1:84" outlineLevel="1" x14ac:dyDescent="0.15">
      <c r="A13" s="46"/>
      <c r="B13" s="46" t="s">
        <v>20</v>
      </c>
      <c r="C13" s="3" t="s">
        <v>147</v>
      </c>
      <c r="D13" s="46">
        <v>218121242</v>
      </c>
      <c r="E13" s="3">
        <v>10</v>
      </c>
      <c r="F13" s="3">
        <v>32</v>
      </c>
      <c r="G13" s="3">
        <v>30</v>
      </c>
      <c r="I13" s="4">
        <f t="shared" si="0"/>
        <v>12.0106275</v>
      </c>
      <c r="J13" s="5">
        <f t="shared" si="1"/>
        <v>5.8734930548396569E-2</v>
      </c>
      <c r="K13" s="5">
        <f t="shared" si="2"/>
        <v>1.7163445273248534E-2</v>
      </c>
      <c r="L13" s="5">
        <f t="shared" si="3"/>
        <v>1.339966696136821E-2</v>
      </c>
      <c r="M13" s="5">
        <f t="shared" si="4"/>
        <v>4.1571485275148028E-2</v>
      </c>
      <c r="N13" s="46">
        <f t="shared" si="5"/>
        <v>3743712</v>
      </c>
      <c r="O13" s="5">
        <v>-12</v>
      </c>
      <c r="P13" s="6">
        <v>23275134</v>
      </c>
      <c r="Q13" s="6">
        <v>727347.9375</v>
      </c>
      <c r="R13" s="6">
        <v>27993.34375</v>
      </c>
      <c r="S13" s="7">
        <v>12811336</v>
      </c>
      <c r="T13" s="7">
        <v>2922752</v>
      </c>
      <c r="U13" s="7">
        <v>820960</v>
      </c>
      <c r="V13" s="7">
        <v>9067624</v>
      </c>
      <c r="W13" s="8">
        <v>70.078087499999896</v>
      </c>
      <c r="X13" s="8">
        <v>72.601274999999902</v>
      </c>
      <c r="Y13" s="8">
        <v>38.662809375000002</v>
      </c>
      <c r="Z13" s="8">
        <v>42.1082156249999</v>
      </c>
      <c r="AA13" s="8">
        <v>37.696206249999904</v>
      </c>
      <c r="AB13" s="9">
        <v>557.47799999999995</v>
      </c>
      <c r="AC13" s="9">
        <v>480.03199999999998</v>
      </c>
      <c r="AD13" s="9">
        <v>1627</v>
      </c>
      <c r="AE13" s="9">
        <v>10.25</v>
      </c>
      <c r="AG13" s="4">
        <f t="shared" si="6"/>
        <v>12.005459999999999</v>
      </c>
      <c r="AH13" s="5">
        <f t="shared" si="7"/>
        <v>5.8709660198982362E-2</v>
      </c>
      <c r="AI13" s="5">
        <f t="shared" si="8"/>
        <v>1.7167699787808837E-2</v>
      </c>
      <c r="AJ13" s="5">
        <f t="shared" si="9"/>
        <v>1.3403921475928511E-2</v>
      </c>
      <c r="AK13" s="5">
        <f t="shared" si="10"/>
        <v>4.1541960411173529E-2</v>
      </c>
      <c r="AL13" s="46">
        <f t="shared" si="11"/>
        <v>3744640</v>
      </c>
      <c r="AM13" s="5">
        <v>-12</v>
      </c>
      <c r="AN13" s="6"/>
      <c r="AO13" s="6"/>
      <c r="AP13" s="6"/>
      <c r="AQ13" s="7">
        <v>12805824</v>
      </c>
      <c r="AR13" s="7">
        <v>2923680</v>
      </c>
      <c r="AS13" s="7">
        <v>820960</v>
      </c>
      <c r="AT13" s="7">
        <v>9061184</v>
      </c>
      <c r="AU13" s="8">
        <v>70.078784374999998</v>
      </c>
      <c r="AV13" s="8">
        <v>72.602109374999898</v>
      </c>
      <c r="AW13" s="8">
        <v>38.6633843749999</v>
      </c>
      <c r="AX13" s="8">
        <v>42.107006249999898</v>
      </c>
      <c r="AY13" s="8">
        <v>37.692449999999901</v>
      </c>
      <c r="AZ13" s="9">
        <v>401.42599999999999</v>
      </c>
      <c r="BA13" s="9">
        <v>305.77199999999999</v>
      </c>
      <c r="BB13" s="9">
        <v>1296.94</v>
      </c>
      <c r="BC13" s="9">
        <v>10.452999999999999</v>
      </c>
      <c r="BE13" s="44">
        <f t="shared" si="12"/>
        <v>1.0002478823157337</v>
      </c>
      <c r="BF13" s="10" t="e">
        <f t="shared" si="13"/>
        <v>#DIV/0!</v>
      </c>
      <c r="BG13" s="10">
        <f t="shared" si="14"/>
        <v>1.9824647718125199E-4</v>
      </c>
      <c r="BH13" s="10"/>
      <c r="BJ13" s="44"/>
      <c r="BK13" s="44"/>
      <c r="BL13" s="44"/>
      <c r="BM13" s="44"/>
      <c r="BN13" s="44"/>
      <c r="BP13" s="44"/>
      <c r="BQ13" s="44"/>
      <c r="BR13" s="44"/>
      <c r="BS13" s="44"/>
      <c r="BT13" s="44"/>
      <c r="BV13" s="51">
        <f t="shared" si="15"/>
        <v>0.27992494771094101</v>
      </c>
      <c r="BW13" s="51">
        <f t="shared" si="15"/>
        <v>0.36301746550229985</v>
      </c>
      <c r="BX13" s="51">
        <f t="shared" si="15"/>
        <v>0.20286416717885675</v>
      </c>
      <c r="BY13" s="51">
        <f t="shared" si="16"/>
        <v>0.32147120660662043</v>
      </c>
      <c r="BZ13" s="55"/>
      <c r="CA13" s="51"/>
      <c r="CC13" s="57"/>
    </row>
    <row r="14" spans="1:84" ht="14.25" outlineLevel="1" thickBot="1" x14ac:dyDescent="0.2">
      <c r="A14" s="11"/>
      <c r="B14" s="30" t="s">
        <v>20</v>
      </c>
      <c r="C14" s="31" t="s">
        <v>148</v>
      </c>
      <c r="D14" s="30">
        <v>218121242</v>
      </c>
      <c r="E14" s="31">
        <v>10</v>
      </c>
      <c r="F14" s="31">
        <v>32</v>
      </c>
      <c r="G14" s="31">
        <v>30</v>
      </c>
      <c r="I14" s="32">
        <f t="shared" si="0"/>
        <v>21.562027499999999</v>
      </c>
      <c r="J14" s="33">
        <f t="shared" si="1"/>
        <v>0.10544363212455943</v>
      </c>
      <c r="K14" s="33">
        <f t="shared" si="2"/>
        <v>2.8264354005466372E-2</v>
      </c>
      <c r="L14" s="33">
        <f t="shared" si="3"/>
        <v>2.1175159088815385E-2</v>
      </c>
      <c r="M14" s="33">
        <f t="shared" si="4"/>
        <v>7.7179278119093045E-2</v>
      </c>
      <c r="N14" s="30">
        <f t="shared" si="5"/>
        <v>6165056</v>
      </c>
      <c r="O14" s="33">
        <v>-12</v>
      </c>
      <c r="P14" s="34">
        <v>22108568</v>
      </c>
      <c r="Q14" s="34">
        <v>690892.75</v>
      </c>
      <c r="R14" s="34">
        <v>13255.34375</v>
      </c>
      <c r="S14" s="35">
        <v>22999496</v>
      </c>
      <c r="T14" s="35">
        <v>4618752</v>
      </c>
      <c r="U14" s="35">
        <v>1546304</v>
      </c>
      <c r="V14" s="35">
        <v>16834440</v>
      </c>
      <c r="W14" s="36">
        <v>70.921371874999906</v>
      </c>
      <c r="X14" s="36">
        <v>74.713256250000001</v>
      </c>
      <c r="Y14" s="36">
        <v>40.916131249999999</v>
      </c>
      <c r="Z14" s="36">
        <v>43.428543749999903</v>
      </c>
      <c r="AA14" s="36">
        <v>39.494587500000002</v>
      </c>
      <c r="AB14" s="37">
        <v>598.178</v>
      </c>
      <c r="AC14" s="37">
        <v>538.14099999999996</v>
      </c>
      <c r="AD14" s="37">
        <v>1743.52</v>
      </c>
      <c r="AE14" s="37">
        <v>10.375</v>
      </c>
      <c r="AG14" s="32">
        <f t="shared" si="6"/>
        <v>21.555689999999998</v>
      </c>
      <c r="AH14" s="33">
        <f t="shared" si="7"/>
        <v>0.10541264018659861</v>
      </c>
      <c r="AI14" s="33">
        <f t="shared" si="8"/>
        <v>2.826820507468044E-2</v>
      </c>
      <c r="AJ14" s="33">
        <f t="shared" si="9"/>
        <v>2.1179010158029449E-2</v>
      </c>
      <c r="AK14" s="33">
        <f t="shared" si="10"/>
        <v>7.7144435111918166E-2</v>
      </c>
      <c r="AL14" s="30">
        <f t="shared" si="11"/>
        <v>6165896</v>
      </c>
      <c r="AM14" s="33">
        <v>-12</v>
      </c>
      <c r="AN14" s="34"/>
      <c r="AO14" s="34"/>
      <c r="AP14" s="34"/>
      <c r="AQ14" s="35">
        <v>22992736</v>
      </c>
      <c r="AR14" s="35">
        <v>4619592</v>
      </c>
      <c r="AS14" s="35">
        <v>1546304</v>
      </c>
      <c r="AT14" s="35">
        <v>16826840</v>
      </c>
      <c r="AU14" s="36">
        <v>70.921656249999998</v>
      </c>
      <c r="AV14" s="36">
        <v>74.715296874999893</v>
      </c>
      <c r="AW14" s="36">
        <v>40.914053125000002</v>
      </c>
      <c r="AX14" s="36">
        <v>43.425593749999898</v>
      </c>
      <c r="AY14" s="36">
        <v>39.491931249999901</v>
      </c>
      <c r="AZ14" s="37">
        <v>516.25</v>
      </c>
      <c r="BA14" s="37">
        <v>415.10399999999998</v>
      </c>
      <c r="BB14" s="37">
        <v>1537.33</v>
      </c>
      <c r="BC14" s="37">
        <v>10.452999999999999</v>
      </c>
      <c r="BE14" s="38">
        <f t="shared" si="12"/>
        <v>1.0001362518037145</v>
      </c>
      <c r="BF14" s="39" t="e">
        <f t="shared" si="13"/>
        <v>#DIV/0!</v>
      </c>
      <c r="BG14" s="39">
        <f t="shared" si="14"/>
        <v>1.1534208365931997E-4</v>
      </c>
      <c r="BH14" s="39"/>
      <c r="BJ14" s="38"/>
      <c r="BK14" s="38"/>
      <c r="BL14" s="38"/>
      <c r="BM14" s="38"/>
      <c r="BN14" s="38"/>
      <c r="BP14" s="38"/>
      <c r="BQ14" s="38"/>
      <c r="BR14" s="38"/>
      <c r="BS14" s="38"/>
      <c r="BT14" s="38"/>
      <c r="BV14" s="51">
        <f t="shared" si="15"/>
        <v>0.13696257635687037</v>
      </c>
      <c r="BW14" s="51">
        <f t="shared" si="15"/>
        <v>0.22863338790391363</v>
      </c>
      <c r="BX14" s="51">
        <f t="shared" si="15"/>
        <v>0.11826075984215842</v>
      </c>
      <c r="BY14" s="51">
        <f t="shared" si="16"/>
        <v>0.182797982130392</v>
      </c>
      <c r="BZ14" s="55">
        <f t="shared" ref="BZ14:CA14" si="17">AVERAGE(BV10:BV14)</f>
        <v>0.32121903052910916</v>
      </c>
      <c r="CA14" s="51">
        <f t="shared" si="17"/>
        <v>0.38239806275653099</v>
      </c>
      <c r="CB14" s="51">
        <f>AVERAGE(BX10:BX14)</f>
        <v>0.21729920006688319</v>
      </c>
      <c r="CC14" s="58">
        <f t="shared" ref="CC14" si="18">AVERAGE(BY10:BY14)</f>
        <v>0.35180854664282013</v>
      </c>
      <c r="CD14" s="51">
        <f>(SUM(AB10:AB14)-SUM(AZ10:AZ14))/SUM(AB10:AB14)</f>
        <v>0.31182417107761151</v>
      </c>
      <c r="CE14" s="51">
        <f>(SUM(AC10:AC14)-SUM(BA10:BA14))/SUM(AC10:AC14)</f>
        <v>0.37529287186058918</v>
      </c>
      <c r="CF14" s="51">
        <f>(SUM(AB10:AC14)-SUM(AZ10:BA14))/SUM(AB10:AC14)</f>
        <v>0.3416820417863638</v>
      </c>
    </row>
    <row r="15" spans="1:84" x14ac:dyDescent="0.15">
      <c r="A15" s="46"/>
      <c r="B15" s="46" t="s">
        <v>23</v>
      </c>
      <c r="C15" s="3" t="s">
        <v>144</v>
      </c>
      <c r="D15" s="46">
        <v>322589704</v>
      </c>
      <c r="E15" s="3">
        <v>10</v>
      </c>
      <c r="F15" s="3">
        <v>32</v>
      </c>
      <c r="G15" s="3">
        <v>30</v>
      </c>
      <c r="I15" s="4">
        <f t="shared" si="0"/>
        <v>4.4048550000000004</v>
      </c>
      <c r="J15" s="5">
        <f t="shared" si="1"/>
        <v>1.4564978180456744E-2</v>
      </c>
      <c r="K15" s="5">
        <f t="shared" si="2"/>
        <v>8.2289049126006829E-3</v>
      </c>
      <c r="L15" s="5">
        <f t="shared" si="3"/>
        <v>4.3908902932624288E-3</v>
      </c>
      <c r="M15" s="5">
        <f t="shared" si="4"/>
        <v>6.3360732678560631E-3</v>
      </c>
      <c r="N15" s="46">
        <f t="shared" si="5"/>
        <v>2654560</v>
      </c>
      <c r="O15" s="5">
        <v>-12</v>
      </c>
      <c r="P15" s="6">
        <v>30898742</v>
      </c>
      <c r="Q15" s="6">
        <v>965585.6875</v>
      </c>
      <c r="R15" s="6">
        <v>27935.75</v>
      </c>
      <c r="S15" s="7">
        <v>4698512</v>
      </c>
      <c r="T15" s="7">
        <v>1416456</v>
      </c>
      <c r="U15" s="7">
        <v>1238104</v>
      </c>
      <c r="V15" s="7">
        <v>2043952</v>
      </c>
      <c r="W15" s="8">
        <v>65.895415624999998</v>
      </c>
      <c r="X15" s="8">
        <v>67.664484375000001</v>
      </c>
      <c r="Y15" s="8">
        <v>29.421203125000002</v>
      </c>
      <c r="Z15" s="8">
        <v>43.104725000000002</v>
      </c>
      <c r="AA15" s="8">
        <v>43.299262499999998</v>
      </c>
      <c r="AB15" s="9">
        <v>475.726</v>
      </c>
      <c r="AC15" s="9">
        <v>417.60199999999998</v>
      </c>
      <c r="AD15" s="9">
        <v>1775.77</v>
      </c>
      <c r="AE15" s="9">
        <v>10.093</v>
      </c>
      <c r="AG15" s="4">
        <f t="shared" si="6"/>
        <v>4.4022075000000003</v>
      </c>
      <c r="AH15" s="5">
        <f t="shared" si="7"/>
        <v>1.4556224026294404E-2</v>
      </c>
      <c r="AI15" s="5">
        <f t="shared" si="8"/>
        <v>8.2288305146899551E-3</v>
      </c>
      <c r="AJ15" s="5">
        <f t="shared" si="9"/>
        <v>4.3908158953517001E-3</v>
      </c>
      <c r="AK15" s="5">
        <f t="shared" si="10"/>
        <v>6.3273935116044495E-3</v>
      </c>
      <c r="AL15" s="46">
        <f t="shared" si="11"/>
        <v>2654536</v>
      </c>
      <c r="AM15" s="5">
        <v>-12</v>
      </c>
      <c r="AN15" s="6"/>
      <c r="AO15" s="6"/>
      <c r="AP15" s="6"/>
      <c r="AQ15" s="7">
        <v>4695688</v>
      </c>
      <c r="AR15" s="7">
        <v>1416432</v>
      </c>
      <c r="AS15" s="7">
        <v>1238104</v>
      </c>
      <c r="AT15" s="7">
        <v>2041152</v>
      </c>
      <c r="AU15" s="8">
        <v>65.896115624999993</v>
      </c>
      <c r="AV15" s="8">
        <v>67.664993749999994</v>
      </c>
      <c r="AW15" s="8">
        <v>29.417571874999901</v>
      </c>
      <c r="AX15" s="8">
        <v>43.122737499999999</v>
      </c>
      <c r="AY15" s="8">
        <v>43.303899999999899</v>
      </c>
      <c r="AZ15" s="9">
        <v>280.72000000000003</v>
      </c>
      <c r="BA15" s="9">
        <v>241.453</v>
      </c>
      <c r="BB15" s="9">
        <v>1392.86</v>
      </c>
      <c r="BC15" s="9">
        <v>10.015000000000001</v>
      </c>
      <c r="BE15" s="44">
        <f t="shared" si="12"/>
        <v>0.99999095895364964</v>
      </c>
      <c r="BF15" s="10" t="e">
        <f t="shared" si="13"/>
        <v>#DIV/0!</v>
      </c>
      <c r="BG15" s="10">
        <f t="shared" si="14"/>
        <v>3.3466881287991246E-4</v>
      </c>
      <c r="BH15" s="10">
        <f t="array" ref="BH15">AVERAGE(AL15:AL19/AQ15:AQ19) - AVERAGE(N15:N19/S15:S19)</f>
        <v>3.1419257885134666E-5</v>
      </c>
      <c r="BJ15" s="44">
        <f>IF( OR(ISBLANK(N15:N19),ISBLANK(AL15:AL19), ISBLANK(W15:W19),ISBLANK(AU15:AU19)), "·", bdRateExtend( N15:N19,W15:W19, AL15:AL19,AU15:AU19))</f>
        <v>-1.6458981147593477E-4</v>
      </c>
      <c r="BK15" s="44">
        <f>IF( OR(ISBLANK(N15:N19),ISBLANK(AL15:AL19), ISBLANK(X15:X19),ISBLANK(AV15:AV19)), "·", bdRateExtend( N15:N19,X15:X19, AL15:AL19,AV15:AV19))</f>
        <v>-1.1128645328239983E-4</v>
      </c>
      <c r="BL15" s="44">
        <f>IF( OR(ISBLANK(V15:V19),ISBLANK(AT15:AT19), ISBLANK(Y15:Y19),ISBLANK(AW15:AW19)), "·", bdRateExtend( V15:V19,Y15:Y19, AT15:AT19,AW15:AW19))</f>
        <v>3.4328973550246111E-4</v>
      </c>
      <c r="BM15" s="44">
        <f>IF( OR(ISBLANK(V15:V19),ISBLANK(AT15:AT19), ISBLANK(Z15:Z19),ISBLANK(AX15:AX19)), "·", bdRateExtend( V15:V19,Z15:Z19, AT15:AT19,AX15:AX19))</f>
        <v>-1.0443878066078716E-3</v>
      </c>
      <c r="BN15" s="44">
        <f>IF( OR(ISBLANK(V15:V19),ISBLANK(AT15:AT19), ISBLANK(AA15:AA19),ISBLANK(AY15:AY19)), "·", bdRateExtend( V15:V19,AA15:AA19, AT15:AT19,AY15:AY19))</f>
        <v>2.8742802835217685E-3</v>
      </c>
      <c r="BP15" s="44">
        <f>IF( OR(ISBLANK(S15:S19),ISBLANK(AQ15:AQ19), ISBLANK(W15:W19),ISBLANK(AU15:AU19)), "·", bdRateExtend( S15:S19,W15:W19, AQ15:AQ19,AU15:AU19))</f>
        <v>-2.3079256416247418E-4</v>
      </c>
      <c r="BQ15" s="44">
        <f>IF( OR(ISBLANK(S15:S19),ISBLANK(AQ15:AQ19), ISBLANK(X15:X19),ISBLANK(AV15:AV19)), "·", bdRateExtend( S15:S19,X15:X19, AQ15:AQ19,AV15:AV19))</f>
        <v>9.9366732190686591E-5</v>
      </c>
      <c r="BR15" s="44">
        <f>IF( OR(ISBLANK(S15:S19),ISBLANK(AQ15:AQ19), ISBLANK(Y15:Y19),ISBLANK(AW15:AW19)), "·", bdRateExtend( S15:S19,Y15:Y19, AQ15:AQ19,AW15:AW19))</f>
        <v>2.4560708996856917E-4</v>
      </c>
      <c r="BS15" s="44">
        <f>IF( OR(ISBLANK(S15:S19),ISBLANK(AQ15:AQ19), ISBLANK(Z15:Z19),ISBLANK(AX15:AX19)), "·", bdRateExtend( S15:S19,Z15:Z19, AQ15:AQ19,AX15:AX19))</f>
        <v>1.4369337260067283E-5</v>
      </c>
      <c r="BT15" s="44">
        <f>IF( OR(ISBLANK(S15:S19),ISBLANK(AQ15:AQ19), ISBLANK(AA15:AA19),ISBLANK(AY15:AY19)), "·", bdRateExtend( S15:S19,AA15:AA19, AQ15:AQ19,AY15:AY19))</f>
        <v>2.495925422413281E-3</v>
      </c>
      <c r="BV15" s="51">
        <f t="shared" si="15"/>
        <v>0.40991242858283966</v>
      </c>
      <c r="BW15" s="51">
        <f t="shared" si="15"/>
        <v>0.42181071929732133</v>
      </c>
      <c r="BX15" s="51">
        <f t="shared" si="15"/>
        <v>0.21563040258592053</v>
      </c>
      <c r="BY15" s="51">
        <f t="shared" si="16"/>
        <v>0.4158615739400805</v>
      </c>
      <c r="BZ15" s="55"/>
      <c r="CA15" s="51"/>
      <c r="CC15" s="57"/>
    </row>
    <row r="16" spans="1:84" outlineLevel="1" x14ac:dyDescent="0.15">
      <c r="A16" s="11"/>
      <c r="B16" s="11" t="s">
        <v>23</v>
      </c>
      <c r="C16" s="12" t="s">
        <v>145</v>
      </c>
      <c r="D16" s="11">
        <v>322589704</v>
      </c>
      <c r="E16" s="12">
        <v>10</v>
      </c>
      <c r="F16" s="12">
        <v>32</v>
      </c>
      <c r="G16" s="12">
        <v>30</v>
      </c>
      <c r="I16" s="13">
        <f t="shared" si="0"/>
        <v>7.0023150000000003</v>
      </c>
      <c r="J16" s="14">
        <f t="shared" si="1"/>
        <v>2.3153671389338576E-2</v>
      </c>
      <c r="K16" s="14">
        <f t="shared" si="2"/>
        <v>1.0043048367098536E-2</v>
      </c>
      <c r="L16" s="14">
        <f t="shared" si="3"/>
        <v>6.2050337477602821E-3</v>
      </c>
      <c r="M16" s="14">
        <f t="shared" si="4"/>
        <v>1.311062302224004E-2</v>
      </c>
      <c r="N16" s="11">
        <f t="shared" si="5"/>
        <v>3239784</v>
      </c>
      <c r="O16" s="14">
        <v>-12</v>
      </c>
      <c r="P16" s="15">
        <v>33174723</v>
      </c>
      <c r="Q16" s="15">
        <v>1036710.09375</v>
      </c>
      <c r="R16" s="15">
        <v>34658.125</v>
      </c>
      <c r="S16" s="16">
        <v>7469136</v>
      </c>
      <c r="T16" s="16">
        <v>2001680</v>
      </c>
      <c r="U16" s="16">
        <v>1238104</v>
      </c>
      <c r="V16" s="16">
        <v>4229352</v>
      </c>
      <c r="W16" s="17">
        <v>67.721312499999996</v>
      </c>
      <c r="X16" s="17">
        <v>69.756862499999997</v>
      </c>
      <c r="Y16" s="17">
        <v>31.811240625</v>
      </c>
      <c r="Z16" s="17">
        <v>43.961996874999997</v>
      </c>
      <c r="AA16" s="17">
        <v>44.231640624999997</v>
      </c>
      <c r="AB16" s="18">
        <v>520.83500000000004</v>
      </c>
      <c r="AC16" s="18">
        <v>431.221</v>
      </c>
      <c r="AD16" s="18">
        <v>1836.77</v>
      </c>
      <c r="AE16" s="18">
        <v>9.843</v>
      </c>
      <c r="AG16" s="13">
        <f t="shared" si="6"/>
        <v>6.9999074999999999</v>
      </c>
      <c r="AH16" s="14">
        <f t="shared" si="7"/>
        <v>2.3145710812890668E-2</v>
      </c>
      <c r="AI16" s="14">
        <f t="shared" si="8"/>
        <v>1.0041436412366093E-2</v>
      </c>
      <c r="AJ16" s="14">
        <f t="shared" si="9"/>
        <v>6.2034217930278393E-3</v>
      </c>
      <c r="AK16" s="14">
        <f t="shared" si="10"/>
        <v>1.3104274400524574E-2</v>
      </c>
      <c r="AL16" s="11">
        <f t="shared" si="11"/>
        <v>3239264</v>
      </c>
      <c r="AM16" s="14">
        <v>-12</v>
      </c>
      <c r="AN16" s="15"/>
      <c r="AO16" s="15"/>
      <c r="AP16" s="15"/>
      <c r="AQ16" s="16">
        <v>7466568</v>
      </c>
      <c r="AR16" s="16">
        <v>2001160</v>
      </c>
      <c r="AS16" s="16">
        <v>1238104</v>
      </c>
      <c r="AT16" s="16">
        <v>4227304</v>
      </c>
      <c r="AU16" s="17">
        <v>67.722750000000005</v>
      </c>
      <c r="AV16" s="17">
        <v>69.754962500000005</v>
      </c>
      <c r="AW16" s="17">
        <v>31.807359374999901</v>
      </c>
      <c r="AX16" s="17">
        <v>43.987506250000003</v>
      </c>
      <c r="AY16" s="17">
        <v>44.2312343749999</v>
      </c>
      <c r="AZ16" s="18">
        <v>318.83</v>
      </c>
      <c r="BA16" s="18">
        <v>268.529</v>
      </c>
      <c r="BB16" s="18">
        <v>1459.22</v>
      </c>
      <c r="BC16" s="18">
        <v>9.968</v>
      </c>
      <c r="BE16" s="43">
        <f t="shared" si="12"/>
        <v>0.9998394954725377</v>
      </c>
      <c r="BF16" s="19" t="e">
        <f t="shared" si="13"/>
        <v>#DIV/0!</v>
      </c>
      <c r="BG16" s="19">
        <f t="shared" si="14"/>
        <v>7.9539341887202575E-5</v>
      </c>
      <c r="BH16" s="19"/>
      <c r="BJ16" s="43"/>
      <c r="BK16" s="43"/>
      <c r="BL16" s="43"/>
      <c r="BM16" s="43"/>
      <c r="BN16" s="43"/>
      <c r="BP16" s="43"/>
      <c r="BQ16" s="43"/>
      <c r="BR16" s="43"/>
      <c r="BS16" s="43"/>
      <c r="BT16" s="43"/>
      <c r="BV16" s="51">
        <f t="shared" si="15"/>
        <v>0.38784835888525165</v>
      </c>
      <c r="BW16" s="51">
        <f t="shared" si="15"/>
        <v>0.37728218245400852</v>
      </c>
      <c r="BX16" s="51">
        <f t="shared" si="15"/>
        <v>0.20555104885206094</v>
      </c>
      <c r="BY16" s="51">
        <f t="shared" si="16"/>
        <v>0.38256527066963009</v>
      </c>
      <c r="BZ16" s="55"/>
      <c r="CA16" s="51"/>
      <c r="CC16" s="57"/>
    </row>
    <row r="17" spans="1:84" outlineLevel="1" x14ac:dyDescent="0.15">
      <c r="A17" s="46"/>
      <c r="B17" s="46" t="s">
        <v>23</v>
      </c>
      <c r="C17" s="3" t="s">
        <v>146</v>
      </c>
      <c r="D17" s="46">
        <v>322589704</v>
      </c>
      <c r="E17" s="3">
        <v>10</v>
      </c>
      <c r="F17" s="3">
        <v>32</v>
      </c>
      <c r="G17" s="3">
        <v>30</v>
      </c>
      <c r="I17" s="4">
        <f t="shared" si="0"/>
        <v>11.682667500000001</v>
      </c>
      <c r="J17" s="5">
        <f t="shared" si="1"/>
        <v>3.8629602388053901E-2</v>
      </c>
      <c r="K17" s="5">
        <f t="shared" si="2"/>
        <v>1.2780990679107353E-2</v>
      </c>
      <c r="L17" s="5">
        <f t="shared" si="3"/>
        <v>8.9429760597690994E-3</v>
      </c>
      <c r="M17" s="5">
        <f t="shared" si="4"/>
        <v>2.5848611708946544E-2</v>
      </c>
      <c r="N17" s="46">
        <f t="shared" si="5"/>
        <v>4123016</v>
      </c>
      <c r="O17" s="5">
        <v>-12</v>
      </c>
      <c r="P17" s="6">
        <v>33536779</v>
      </c>
      <c r="Q17" s="6">
        <v>1048024.34375</v>
      </c>
      <c r="R17" s="6">
        <v>36443.15625</v>
      </c>
      <c r="S17" s="7">
        <v>12461512</v>
      </c>
      <c r="T17" s="7">
        <v>2884912</v>
      </c>
      <c r="U17" s="7">
        <v>1238104</v>
      </c>
      <c r="V17" s="7">
        <v>8338496</v>
      </c>
      <c r="W17" s="8">
        <v>69.122003125000006</v>
      </c>
      <c r="X17" s="8">
        <v>71.601190624999902</v>
      </c>
      <c r="Y17" s="8">
        <v>34.352246874999999</v>
      </c>
      <c r="Z17" s="8">
        <v>44.816187499999998</v>
      </c>
      <c r="AA17" s="8">
        <v>45.212228124999903</v>
      </c>
      <c r="AB17" s="9">
        <v>560.51199999999994</v>
      </c>
      <c r="AC17" s="9">
        <v>465.22800000000001</v>
      </c>
      <c r="AD17" s="9">
        <v>1911.09</v>
      </c>
      <c r="AE17" s="9">
        <v>9.75</v>
      </c>
      <c r="AG17" s="4">
        <f t="shared" si="6"/>
        <v>11.6850825</v>
      </c>
      <c r="AH17" s="5">
        <f t="shared" si="7"/>
        <v>3.8637587763805381E-2</v>
      </c>
      <c r="AI17" s="5">
        <f t="shared" si="8"/>
        <v>1.2781734658214633E-2</v>
      </c>
      <c r="AJ17" s="5">
        <f t="shared" si="9"/>
        <v>8.94372003887638E-3</v>
      </c>
      <c r="AK17" s="5">
        <f t="shared" si="10"/>
        <v>2.5855853105590746E-2</v>
      </c>
      <c r="AL17" s="46">
        <f t="shared" si="11"/>
        <v>4123256</v>
      </c>
      <c r="AM17" s="5">
        <v>-12</v>
      </c>
      <c r="AN17" s="6"/>
      <c r="AO17" s="6"/>
      <c r="AP17" s="6"/>
      <c r="AQ17" s="7">
        <v>12464088</v>
      </c>
      <c r="AR17" s="7">
        <v>2885152</v>
      </c>
      <c r="AS17" s="7">
        <v>1238104</v>
      </c>
      <c r="AT17" s="7">
        <v>8340832</v>
      </c>
      <c r="AU17" s="8">
        <v>69.122734374999993</v>
      </c>
      <c r="AV17" s="8">
        <v>71.601412499999995</v>
      </c>
      <c r="AW17" s="8">
        <v>34.354062499999998</v>
      </c>
      <c r="AX17" s="8">
        <v>44.790971874999997</v>
      </c>
      <c r="AY17" s="8">
        <v>45.202821874999998</v>
      </c>
      <c r="AZ17" s="9">
        <v>378.71100000000001</v>
      </c>
      <c r="BA17" s="9">
        <v>310.041</v>
      </c>
      <c r="BB17" s="9">
        <v>1560.83</v>
      </c>
      <c r="BC17" s="9">
        <v>9.89</v>
      </c>
      <c r="BE17" s="44">
        <f t="shared" si="12"/>
        <v>1.000058209815339</v>
      </c>
      <c r="BF17" s="10" t="e">
        <f t="shared" si="13"/>
        <v>#DIV/0!</v>
      </c>
      <c r="BG17" s="10">
        <f t="shared" si="14"/>
        <v>-4.9124764593622139E-5</v>
      </c>
      <c r="BH17" s="10"/>
      <c r="BJ17" s="44"/>
      <c r="BK17" s="44"/>
      <c r="BL17" s="44"/>
      <c r="BM17" s="44"/>
      <c r="BN17" s="44"/>
      <c r="BP17" s="44"/>
      <c r="BQ17" s="44"/>
      <c r="BR17" s="44"/>
      <c r="BS17" s="44"/>
      <c r="BT17" s="44"/>
      <c r="BV17" s="51">
        <f t="shared" si="15"/>
        <v>0.32434809602648995</v>
      </c>
      <c r="BW17" s="51">
        <f t="shared" si="15"/>
        <v>0.33357192602336921</v>
      </c>
      <c r="BX17" s="51">
        <f t="shared" si="15"/>
        <v>0.18327760597355436</v>
      </c>
      <c r="BY17" s="51">
        <f t="shared" si="16"/>
        <v>0.32896001102492956</v>
      </c>
      <c r="BZ17" s="55"/>
      <c r="CA17" s="51"/>
      <c r="CC17" s="57"/>
    </row>
    <row r="18" spans="1:84" outlineLevel="1" x14ac:dyDescent="0.15">
      <c r="A18" s="11"/>
      <c r="B18" s="11" t="s">
        <v>23</v>
      </c>
      <c r="C18" s="12" t="s">
        <v>147</v>
      </c>
      <c r="D18" s="11">
        <v>322589704</v>
      </c>
      <c r="E18" s="12">
        <v>10</v>
      </c>
      <c r="F18" s="12">
        <v>32</v>
      </c>
      <c r="G18" s="12">
        <v>30</v>
      </c>
      <c r="I18" s="13">
        <f t="shared" si="0"/>
        <v>20.167642499999999</v>
      </c>
      <c r="J18" s="14">
        <f t="shared" si="1"/>
        <v>6.6685798502732124E-2</v>
      </c>
      <c r="K18" s="14">
        <f t="shared" si="2"/>
        <v>1.7280179531086338E-2</v>
      </c>
      <c r="L18" s="14">
        <f t="shared" si="3"/>
        <v>1.3442164911748083E-2</v>
      </c>
      <c r="M18" s="14">
        <f t="shared" si="4"/>
        <v>4.940561897164579E-2</v>
      </c>
      <c r="N18" s="11">
        <f t="shared" si="5"/>
        <v>5574408</v>
      </c>
      <c r="O18" s="14">
        <v>-12</v>
      </c>
      <c r="P18" s="15">
        <v>34802045</v>
      </c>
      <c r="Q18" s="15">
        <v>1087563.90625</v>
      </c>
      <c r="R18" s="15">
        <v>40924.21875</v>
      </c>
      <c r="S18" s="16">
        <v>21512152</v>
      </c>
      <c r="T18" s="16">
        <v>4336304</v>
      </c>
      <c r="U18" s="16">
        <v>1238104</v>
      </c>
      <c r="V18" s="16">
        <v>15937744</v>
      </c>
      <c r="W18" s="17">
        <v>70.369831250000004</v>
      </c>
      <c r="X18" s="17">
        <v>72.947381249999907</v>
      </c>
      <c r="Y18" s="17">
        <v>37.033359375000003</v>
      </c>
      <c r="Z18" s="17">
        <v>46.129693750000001</v>
      </c>
      <c r="AA18" s="17">
        <v>46.645259375000002</v>
      </c>
      <c r="AB18" s="18">
        <v>607.78800000000001</v>
      </c>
      <c r="AC18" s="18">
        <v>537.05799999999999</v>
      </c>
      <c r="AD18" s="18">
        <v>2033.27</v>
      </c>
      <c r="AE18" s="18">
        <v>9.8119999999999994</v>
      </c>
      <c r="AG18" s="13">
        <f t="shared" si="6"/>
        <v>20.171790000000001</v>
      </c>
      <c r="AH18" s="14">
        <f t="shared" si="7"/>
        <v>6.669951251760968E-2</v>
      </c>
      <c r="AI18" s="14">
        <f t="shared" si="8"/>
        <v>1.7272466947674189E-2</v>
      </c>
      <c r="AJ18" s="14">
        <f t="shared" si="9"/>
        <v>1.3434452328335934E-2</v>
      </c>
      <c r="AK18" s="14">
        <f t="shared" si="10"/>
        <v>4.9427045569935484E-2</v>
      </c>
      <c r="AL18" s="11">
        <f t="shared" si="11"/>
        <v>5571920</v>
      </c>
      <c r="AM18" s="14">
        <v>-12</v>
      </c>
      <c r="AN18" s="15"/>
      <c r="AO18" s="15"/>
      <c r="AP18" s="15"/>
      <c r="AQ18" s="16">
        <v>21516576</v>
      </c>
      <c r="AR18" s="16">
        <v>4333816</v>
      </c>
      <c r="AS18" s="16">
        <v>1238104</v>
      </c>
      <c r="AT18" s="16">
        <v>15944656</v>
      </c>
      <c r="AU18" s="17">
        <v>70.368678125000002</v>
      </c>
      <c r="AV18" s="17">
        <v>72.946553124999994</v>
      </c>
      <c r="AW18" s="17">
        <v>37.033371875</v>
      </c>
      <c r="AX18" s="17">
        <v>46.124834374999999</v>
      </c>
      <c r="AY18" s="17">
        <v>46.632146874999997</v>
      </c>
      <c r="AZ18" s="18">
        <v>452.58600000000001</v>
      </c>
      <c r="BA18" s="18">
        <v>400.21800000000002</v>
      </c>
      <c r="BB18" s="18">
        <v>1729.11</v>
      </c>
      <c r="BC18" s="18">
        <v>10.093</v>
      </c>
      <c r="BE18" s="43">
        <f t="shared" si="12"/>
        <v>0.99955367457853816</v>
      </c>
      <c r="BF18" s="19" t="e">
        <f t="shared" si="13"/>
        <v>#DIV/0!</v>
      </c>
      <c r="BG18" s="19">
        <f t="shared" si="14"/>
        <v>-1.6891087723713838E-4</v>
      </c>
      <c r="BH18" s="19"/>
      <c r="BJ18" s="43"/>
      <c r="BK18" s="43"/>
      <c r="BL18" s="43"/>
      <c r="BM18" s="43"/>
      <c r="BN18" s="43"/>
      <c r="BP18" s="43"/>
      <c r="BQ18" s="43"/>
      <c r="BR18" s="43"/>
      <c r="BS18" s="43"/>
      <c r="BT18" s="43"/>
      <c r="BV18" s="51">
        <f t="shared" si="15"/>
        <v>0.25535548579438883</v>
      </c>
      <c r="BW18" s="51">
        <f t="shared" si="15"/>
        <v>0.25479557142803938</v>
      </c>
      <c r="BX18" s="51">
        <f t="shared" si="15"/>
        <v>0.14959154465466962</v>
      </c>
      <c r="BY18" s="51">
        <f t="shared" si="16"/>
        <v>0.25507552861121408</v>
      </c>
      <c r="BZ18" s="55"/>
      <c r="CA18" s="51"/>
      <c r="CC18" s="57"/>
    </row>
    <row r="19" spans="1:84" ht="14.25" outlineLevel="1" thickBot="1" x14ac:dyDescent="0.2">
      <c r="A19" s="46"/>
      <c r="B19" s="20" t="s">
        <v>23</v>
      </c>
      <c r="C19" s="21" t="s">
        <v>148</v>
      </c>
      <c r="D19" s="20">
        <v>322589704</v>
      </c>
      <c r="E19" s="21">
        <v>10</v>
      </c>
      <c r="F19" s="21">
        <v>32</v>
      </c>
      <c r="G19" s="21">
        <v>30</v>
      </c>
      <c r="I19" s="22">
        <f t="shared" si="0"/>
        <v>35.688764999999997</v>
      </c>
      <c r="J19" s="23">
        <f t="shared" si="1"/>
        <v>0.11800753566518044</v>
      </c>
      <c r="K19" s="23">
        <f t="shared" si="2"/>
        <v>2.7760638014659018E-2</v>
      </c>
      <c r="L19" s="23">
        <f t="shared" si="3"/>
        <v>2.064958651005179E-2</v>
      </c>
      <c r="M19" s="23">
        <f t="shared" si="4"/>
        <v>9.0246897650521421E-2</v>
      </c>
      <c r="N19" s="20">
        <f t="shared" si="5"/>
        <v>8955296</v>
      </c>
      <c r="O19" s="23">
        <v>-12</v>
      </c>
      <c r="P19" s="24">
        <v>33040002</v>
      </c>
      <c r="Q19" s="24">
        <v>1032500.0625</v>
      </c>
      <c r="R19" s="24">
        <v>17720.5</v>
      </c>
      <c r="S19" s="25">
        <v>38068016</v>
      </c>
      <c r="T19" s="25">
        <v>6661344</v>
      </c>
      <c r="U19" s="25">
        <v>2293952</v>
      </c>
      <c r="V19" s="25">
        <v>29112720</v>
      </c>
      <c r="W19" s="26">
        <v>71.147937499999898</v>
      </c>
      <c r="X19" s="26">
        <v>75.002496874999906</v>
      </c>
      <c r="Y19" s="26">
        <v>39.495606249999902</v>
      </c>
      <c r="Z19" s="26">
        <v>47.874012499999999</v>
      </c>
      <c r="AA19" s="26">
        <v>48.468343750000003</v>
      </c>
      <c r="AB19" s="27">
        <v>675.197</v>
      </c>
      <c r="AC19" s="27">
        <v>651.59500000000003</v>
      </c>
      <c r="AD19" s="27">
        <v>2228.9499999999998</v>
      </c>
      <c r="AE19" s="27">
        <v>9.89</v>
      </c>
      <c r="AG19" s="22">
        <f t="shared" si="6"/>
        <v>35.693482500000002</v>
      </c>
      <c r="AH19" s="23">
        <f t="shared" si="7"/>
        <v>0.11802313442712976</v>
      </c>
      <c r="AI19" s="23">
        <f t="shared" si="8"/>
        <v>2.7759695641123128E-2</v>
      </c>
      <c r="AJ19" s="23">
        <f t="shared" si="9"/>
        <v>2.06486441365159E-2</v>
      </c>
      <c r="AK19" s="23">
        <f t="shared" si="10"/>
        <v>9.0263438786006636E-2</v>
      </c>
      <c r="AL19" s="20">
        <f t="shared" si="11"/>
        <v>8954992</v>
      </c>
      <c r="AM19" s="23">
        <v>-12</v>
      </c>
      <c r="AN19" s="24"/>
      <c r="AO19" s="24"/>
      <c r="AP19" s="24"/>
      <c r="AQ19" s="25">
        <v>38073048</v>
      </c>
      <c r="AR19" s="25">
        <v>6661040</v>
      </c>
      <c r="AS19" s="25">
        <v>2293952</v>
      </c>
      <c r="AT19" s="25">
        <v>29118056</v>
      </c>
      <c r="AU19" s="26">
        <v>71.147921874999994</v>
      </c>
      <c r="AV19" s="26">
        <v>75.0043624999999</v>
      </c>
      <c r="AW19" s="26">
        <v>39.491787499999901</v>
      </c>
      <c r="AX19" s="26">
        <v>47.863115624999999</v>
      </c>
      <c r="AY19" s="26">
        <v>48.469793750000001</v>
      </c>
      <c r="AZ19" s="27">
        <v>571.11599999999999</v>
      </c>
      <c r="BA19" s="27">
        <v>561.70000000000005</v>
      </c>
      <c r="BB19" s="27">
        <v>2018.02</v>
      </c>
      <c r="BC19" s="27">
        <v>9.89</v>
      </c>
      <c r="BE19" s="28">
        <f t="shared" si="12"/>
        <v>0.99996605360671498</v>
      </c>
      <c r="BF19" s="29" t="e">
        <f t="shared" si="13"/>
        <v>#DIV/0!</v>
      </c>
      <c r="BG19" s="29">
        <f t="shared" si="14"/>
        <v>-3.9076223510708941E-5</v>
      </c>
      <c r="BH19" s="29"/>
      <c r="BJ19" s="28"/>
      <c r="BK19" s="28"/>
      <c r="BL19" s="28"/>
      <c r="BM19" s="28"/>
      <c r="BN19" s="28"/>
      <c r="BP19" s="28"/>
      <c r="BQ19" s="28"/>
      <c r="BR19" s="28"/>
      <c r="BS19" s="28"/>
      <c r="BT19" s="28"/>
      <c r="BV19" s="51">
        <f t="shared" si="15"/>
        <v>0.15414908537804525</v>
      </c>
      <c r="BW19" s="51">
        <f t="shared" si="15"/>
        <v>0.13796146379269328</v>
      </c>
      <c r="BX19" s="51">
        <f t="shared" si="15"/>
        <v>9.4632001615110192E-2</v>
      </c>
      <c r="BY19" s="51">
        <f t="shared" si="16"/>
        <v>0.14605527458536927</v>
      </c>
      <c r="BZ19" s="55">
        <f t="shared" ref="BZ19:CA19" si="19">AVERAGE(BV15:BV19)</f>
        <v>0.30632269093340309</v>
      </c>
      <c r="CA19" s="51">
        <f t="shared" si="19"/>
        <v>0.30508437259908638</v>
      </c>
      <c r="CB19" s="51">
        <f>AVERAGE(BX15:BX19)</f>
        <v>0.16973652073626314</v>
      </c>
      <c r="CC19" s="58">
        <f t="shared" ref="CC19" si="20">AVERAGE(BY15:BY19)</f>
        <v>0.30570353176624465</v>
      </c>
      <c r="CD19" s="51">
        <f>(SUM(AB15:AB19)-SUM(AZ15:AZ19))/SUM(AB15:AB19)</f>
        <v>0.29509784659327382</v>
      </c>
      <c r="CE19" s="51">
        <f>(SUM(AC15:AC19)-SUM(BA15:BA19))/SUM(AC15:AC19)</f>
        <v>0.28799370600758212</v>
      </c>
      <c r="CF19" s="51">
        <f>(SUM(AB15:AC19)-SUM(AZ15:BA19))/SUM(AB15:AC19)</f>
        <v>0.29177006200163891</v>
      </c>
    </row>
    <row r="20" spans="1:84" x14ac:dyDescent="0.15">
      <c r="A20" s="11"/>
      <c r="B20" s="11" t="s">
        <v>26</v>
      </c>
      <c r="C20" s="12" t="s">
        <v>144</v>
      </c>
      <c r="D20" s="11">
        <v>250602891</v>
      </c>
      <c r="E20" s="12">
        <v>10</v>
      </c>
      <c r="F20" s="12">
        <v>32</v>
      </c>
      <c r="G20" s="12">
        <v>50</v>
      </c>
      <c r="I20" s="13">
        <f t="shared" si="0"/>
        <v>5.0936000000000003</v>
      </c>
      <c r="J20" s="14">
        <f t="shared" si="1"/>
        <v>1.3008245782767127E-2</v>
      </c>
      <c r="K20" s="14">
        <f t="shared" si="2"/>
        <v>7.583088895810065E-3</v>
      </c>
      <c r="L20" s="14">
        <f t="shared" si="3"/>
        <v>3.7914646403660202E-3</v>
      </c>
      <c r="M20" s="14">
        <f t="shared" si="4"/>
        <v>5.425156886957062E-3</v>
      </c>
      <c r="N20" s="11">
        <f t="shared" si="5"/>
        <v>1900344</v>
      </c>
      <c r="O20" s="14">
        <v>-12</v>
      </c>
      <c r="P20" s="15">
        <v>30202618</v>
      </c>
      <c r="Q20" s="15">
        <v>943831.8125</v>
      </c>
      <c r="R20" s="15">
        <v>27795.1875</v>
      </c>
      <c r="S20" s="16">
        <v>3259904</v>
      </c>
      <c r="T20" s="16">
        <v>950152</v>
      </c>
      <c r="U20" s="16">
        <v>950192</v>
      </c>
      <c r="V20" s="16">
        <v>1359560</v>
      </c>
      <c r="W20" s="17">
        <v>67.119896874999995</v>
      </c>
      <c r="X20" s="17">
        <v>68.826574999999906</v>
      </c>
      <c r="Y20" s="17">
        <v>30.701740624999999</v>
      </c>
      <c r="Z20" s="17">
        <v>39.504118749999897</v>
      </c>
      <c r="AA20" s="17">
        <v>38.223546874999997</v>
      </c>
      <c r="AB20" s="18">
        <v>517.50800000000004</v>
      </c>
      <c r="AC20" s="18">
        <v>460.06200000000001</v>
      </c>
      <c r="AD20" s="18">
        <v>1816.06</v>
      </c>
      <c r="AE20" s="18">
        <v>10.875</v>
      </c>
      <c r="AG20" s="13">
        <f t="shared" si="6"/>
        <v>5.0894874999999997</v>
      </c>
      <c r="AH20" s="14">
        <f t="shared" si="7"/>
        <v>1.2997743110633149E-2</v>
      </c>
      <c r="AI20" s="14">
        <f t="shared" si="8"/>
        <v>7.5841104323094181E-3</v>
      </c>
      <c r="AJ20" s="14">
        <f t="shared" si="9"/>
        <v>3.7924861768653738E-3</v>
      </c>
      <c r="AK20" s="14">
        <f t="shared" si="10"/>
        <v>5.4136326783237312E-3</v>
      </c>
      <c r="AL20" s="11">
        <f t="shared" si="11"/>
        <v>1900600</v>
      </c>
      <c r="AM20" s="14">
        <v>-12</v>
      </c>
      <c r="AN20" s="15"/>
      <c r="AO20" s="15"/>
      <c r="AP20" s="15"/>
      <c r="AQ20" s="16">
        <v>3257272</v>
      </c>
      <c r="AR20" s="16">
        <v>950408</v>
      </c>
      <c r="AS20" s="16">
        <v>950192</v>
      </c>
      <c r="AT20" s="16">
        <v>1356672</v>
      </c>
      <c r="AU20" s="17">
        <v>67.120003124999997</v>
      </c>
      <c r="AV20" s="17">
        <v>68.825128124999907</v>
      </c>
      <c r="AW20" s="17">
        <v>30.669890625000001</v>
      </c>
      <c r="AX20" s="17">
        <v>39.507640625000001</v>
      </c>
      <c r="AY20" s="17">
        <v>38.172903124999998</v>
      </c>
      <c r="AZ20" s="18">
        <v>289.00200000000001</v>
      </c>
      <c r="BA20" s="18">
        <v>254.59700000000001</v>
      </c>
      <c r="BB20" s="18">
        <v>1381.97</v>
      </c>
      <c r="BC20" s="18">
        <v>11.952999999999999</v>
      </c>
      <c r="BE20" s="43">
        <f t="shared" si="12"/>
        <v>1.0001347124520612</v>
      </c>
      <c r="BF20" s="19" t="e">
        <f t="shared" si="13"/>
        <v>#DIV/0!</v>
      </c>
      <c r="BG20" s="19">
        <f t="shared" si="14"/>
        <v>5.4963498434601465E-4</v>
      </c>
      <c r="BH20" s="19">
        <f t="array" ref="BH20">AVERAGE(AL20:AL24/AQ20:AQ24) - AVERAGE(N20:N24/S20:S24)</f>
        <v>3.1930759822157428E-4</v>
      </c>
      <c r="BJ20" s="43">
        <f>IF( OR(ISBLANK(N20:N24),ISBLANK(AL20:AL24), ISBLANK(W20:W24),ISBLANK(AU20:AU24)), "·", bdRateExtend( N20:N24,W20:W24, AL20:AL24,AU20:AU24))</f>
        <v>1.305163523257491E-6</v>
      </c>
      <c r="BK20" s="43">
        <f>IF( OR(ISBLANK(N20:N24),ISBLANK(AL20:AL24), ISBLANK(X20:X24),ISBLANK(AV20:AV24)), "·", bdRateExtend( N20:N24,X20:X24, AL20:AL24,AV20:AV24))</f>
        <v>1.1929146691969095E-4</v>
      </c>
      <c r="BL20" s="43">
        <f>IF( OR(ISBLANK(V20:V24),ISBLANK(AT20:AT24), ISBLANK(Y20:Y24),ISBLANK(AW20:AW24)), "·", bdRateExtend( V20:V24,Y20:Y24, AT20:AT24,AW20:AW24))</f>
        <v>4.4000513735427127E-3</v>
      </c>
      <c r="BM20" s="43">
        <f>IF( OR(ISBLANK(V20:V24),ISBLANK(AT20:AT24), ISBLANK(Z20:Z24),ISBLANK(AX20:AX24)), "·", bdRateExtend( V20:V24,Z20:Z24, AT20:AT24,AX20:AX24))</f>
        <v>5.3686944508122281E-3</v>
      </c>
      <c r="BN20" s="43">
        <f>IF( OR(ISBLANK(V20:V24),ISBLANK(AT20:AT24), ISBLANK(AA20:AA24),ISBLANK(AY20:AY24)), "·", bdRateExtend( V20:V24,AA20:AA24, AT20:AT24,AY20:AY24))</f>
        <v>5.9265934692744882E-3</v>
      </c>
      <c r="BP20" s="43">
        <f>IF( OR(ISBLANK(S20:S24),ISBLANK(AQ20:AQ24), ISBLANK(W20:W24),ISBLANK(AU20:AU24)), "·", bdRateExtend( S20:S24,W20:W24, AQ20:AQ24,AU20:AU24))</f>
        <v>-7.7052947729605581E-4</v>
      </c>
      <c r="BQ20" s="43">
        <f>IF( OR(ISBLANK(S20:S24),ISBLANK(AQ20:AQ24), ISBLANK(X20:X24),ISBLANK(AV20:AV24)), "·", bdRateExtend( S20:S24,X20:X24, AQ20:AQ24,AV20:AV24))</f>
        <v>-5.8010214046044783E-4</v>
      </c>
      <c r="BR20" s="43">
        <f>IF( OR(ISBLANK(S20:S24),ISBLANK(AQ20:AQ24), ISBLANK(Y20:Y24),ISBLANK(AW20:AW24)), "·", bdRateExtend( S20:S24,Y20:Y24, AQ20:AQ24,AW20:AW24))</f>
        <v>3.1117289524071889E-3</v>
      </c>
      <c r="BS20" s="43">
        <f>IF( OR(ISBLANK(S20:S24),ISBLANK(AQ20:AQ24), ISBLANK(Z20:Z24),ISBLANK(AX20:AX24)), "·", bdRateExtend( S20:S24,Z20:Z24, AQ20:AQ24,AX20:AX24))</f>
        <v>4.5103504017418583E-3</v>
      </c>
      <c r="BT20" s="43">
        <f>IF( OR(ISBLANK(S20:S24),ISBLANK(AQ20:AQ24), ISBLANK(AA20:AA24),ISBLANK(AY20:AY24)), "·", bdRateExtend( S20:S24,AA20:AA24, AQ20:AQ24,AY20:AY24))</f>
        <v>4.5769651732219252E-3</v>
      </c>
      <c r="BV20" s="51">
        <f t="shared" si="15"/>
        <v>0.44155066201875143</v>
      </c>
      <c r="BW20" s="51">
        <f t="shared" si="15"/>
        <v>0.4466028491811973</v>
      </c>
      <c r="BX20" s="51">
        <f t="shared" si="15"/>
        <v>0.23902844619671151</v>
      </c>
      <c r="BY20" s="51">
        <f t="shared" si="16"/>
        <v>0.44407675559997439</v>
      </c>
      <c r="BZ20" s="55"/>
      <c r="CA20" s="51"/>
      <c r="CC20" s="57"/>
    </row>
    <row r="21" spans="1:84" outlineLevel="1" x14ac:dyDescent="0.15">
      <c r="A21" s="46"/>
      <c r="B21" s="46" t="s">
        <v>26</v>
      </c>
      <c r="C21" s="3" t="s">
        <v>145</v>
      </c>
      <c r="D21" s="46">
        <v>250602891</v>
      </c>
      <c r="E21" s="3">
        <v>10</v>
      </c>
      <c r="F21" s="3">
        <v>32</v>
      </c>
      <c r="G21" s="3">
        <v>50</v>
      </c>
      <c r="I21" s="4">
        <f t="shared" si="0"/>
        <v>7.5828249999999997</v>
      </c>
      <c r="J21" s="5">
        <f t="shared" si="1"/>
        <v>1.9365331264275001E-2</v>
      </c>
      <c r="K21" s="5">
        <f t="shared" si="2"/>
        <v>9.0187626766045567E-3</v>
      </c>
      <c r="L21" s="5">
        <f t="shared" si="3"/>
        <v>5.2271384211605128E-3</v>
      </c>
      <c r="M21" s="5">
        <f t="shared" si="4"/>
        <v>1.0346568587670442E-2</v>
      </c>
      <c r="N21" s="46">
        <f t="shared" si="5"/>
        <v>2260128</v>
      </c>
      <c r="O21" s="5">
        <v>-12</v>
      </c>
      <c r="P21" s="6">
        <v>31470210</v>
      </c>
      <c r="Q21" s="6">
        <v>983444.0625</v>
      </c>
      <c r="R21" s="6">
        <v>32994.5</v>
      </c>
      <c r="S21" s="7">
        <v>4853008</v>
      </c>
      <c r="T21" s="7">
        <v>1309936</v>
      </c>
      <c r="U21" s="7">
        <v>950192</v>
      </c>
      <c r="V21" s="7">
        <v>2592880</v>
      </c>
      <c r="W21" s="8">
        <v>68.687637499999994</v>
      </c>
      <c r="X21" s="8">
        <v>70.768968749999999</v>
      </c>
      <c r="Y21" s="8">
        <v>32.499071874999998</v>
      </c>
      <c r="Z21" s="8">
        <v>40.637934375</v>
      </c>
      <c r="AA21" s="8">
        <v>39.554534375000003</v>
      </c>
      <c r="AB21" s="9">
        <v>557.04</v>
      </c>
      <c r="AC21" s="9">
        <v>476.26299999999998</v>
      </c>
      <c r="AD21" s="9">
        <v>1871.19</v>
      </c>
      <c r="AE21" s="9">
        <v>11.061999999999999</v>
      </c>
      <c r="AG21" s="4">
        <f t="shared" si="6"/>
        <v>7.5752875</v>
      </c>
      <c r="AH21" s="5">
        <f t="shared" si="7"/>
        <v>1.9346081685865307E-2</v>
      </c>
      <c r="AI21" s="5">
        <f t="shared" si="8"/>
        <v>9.0184434464485094E-3</v>
      </c>
      <c r="AJ21" s="5">
        <f t="shared" si="9"/>
        <v>5.2268191910044646E-3</v>
      </c>
      <c r="AK21" s="5">
        <f t="shared" si="10"/>
        <v>1.0327638239416799E-2</v>
      </c>
      <c r="AL21" s="46">
        <f t="shared" si="11"/>
        <v>2260048</v>
      </c>
      <c r="AM21" s="5">
        <v>-12</v>
      </c>
      <c r="AN21" s="6"/>
      <c r="AO21" s="6"/>
      <c r="AP21" s="6"/>
      <c r="AQ21" s="7">
        <v>4848184</v>
      </c>
      <c r="AR21" s="7">
        <v>1309856</v>
      </c>
      <c r="AS21" s="7">
        <v>950192</v>
      </c>
      <c r="AT21" s="7">
        <v>2588136</v>
      </c>
      <c r="AU21" s="8">
        <v>68.687096874999895</v>
      </c>
      <c r="AV21" s="8">
        <v>70.768528125000003</v>
      </c>
      <c r="AW21" s="8">
        <v>32.471721875</v>
      </c>
      <c r="AX21" s="8">
        <v>40.624806249999999</v>
      </c>
      <c r="AY21" s="8">
        <v>39.550525</v>
      </c>
      <c r="AZ21" s="9">
        <v>319.51</v>
      </c>
      <c r="BA21" s="9">
        <v>296.37299999999999</v>
      </c>
      <c r="BB21" s="9">
        <v>1454.58</v>
      </c>
      <c r="BC21" s="9">
        <v>10.906000000000001</v>
      </c>
      <c r="BE21" s="44">
        <f t="shared" si="12"/>
        <v>0.99996460377465357</v>
      </c>
      <c r="BF21" s="10" t="e">
        <f t="shared" si="13"/>
        <v>#DIV/0!</v>
      </c>
      <c r="BG21" s="10">
        <f t="shared" si="14"/>
        <v>4.4689279186121977E-4</v>
      </c>
      <c r="BH21" s="10"/>
      <c r="BJ21" s="44"/>
      <c r="BK21" s="44"/>
      <c r="BL21" s="44"/>
      <c r="BM21" s="44"/>
      <c r="BN21" s="44"/>
      <c r="BP21" s="44"/>
      <c r="BQ21" s="44"/>
      <c r="BR21" s="44"/>
      <c r="BS21" s="44"/>
      <c r="BT21" s="44"/>
      <c r="BV21" s="51">
        <f t="shared" si="15"/>
        <v>0.42641462013499926</v>
      </c>
      <c r="BW21" s="51">
        <f t="shared" si="15"/>
        <v>0.37771147454242721</v>
      </c>
      <c r="BX21" s="51">
        <f t="shared" si="15"/>
        <v>0.22264441344812666</v>
      </c>
      <c r="BY21" s="51">
        <f t="shared" si="16"/>
        <v>0.40206304733871323</v>
      </c>
      <c r="BZ21" s="55"/>
      <c r="CA21" s="51"/>
      <c r="CC21" s="57"/>
    </row>
    <row r="22" spans="1:84" outlineLevel="1" x14ac:dyDescent="0.15">
      <c r="A22" s="11"/>
      <c r="B22" s="11" t="s">
        <v>26</v>
      </c>
      <c r="C22" s="12" t="s">
        <v>146</v>
      </c>
      <c r="D22" s="11">
        <v>250602891</v>
      </c>
      <c r="E22" s="12">
        <v>10</v>
      </c>
      <c r="F22" s="12">
        <v>32</v>
      </c>
      <c r="G22" s="12">
        <v>50</v>
      </c>
      <c r="I22" s="13">
        <f t="shared" si="0"/>
        <v>12.3580875</v>
      </c>
      <c r="J22" s="14">
        <f t="shared" si="1"/>
        <v>3.1560593608634786E-2</v>
      </c>
      <c r="K22" s="14">
        <f t="shared" si="2"/>
        <v>1.1265089515667239E-2</v>
      </c>
      <c r="L22" s="14">
        <f t="shared" si="3"/>
        <v>7.4734652602231949E-3</v>
      </c>
      <c r="M22" s="14">
        <f t="shared" si="4"/>
        <v>2.0295504092967546E-2</v>
      </c>
      <c r="N22" s="11">
        <f t="shared" si="5"/>
        <v>2823064</v>
      </c>
      <c r="O22" s="14">
        <v>-12</v>
      </c>
      <c r="P22" s="15">
        <v>32774469</v>
      </c>
      <c r="Q22" s="15">
        <v>1024202.15625</v>
      </c>
      <c r="R22" s="15">
        <v>35190.1875</v>
      </c>
      <c r="S22" s="16">
        <v>7909176</v>
      </c>
      <c r="T22" s="16">
        <v>1872872</v>
      </c>
      <c r="U22" s="16">
        <v>950192</v>
      </c>
      <c r="V22" s="16">
        <v>5086112</v>
      </c>
      <c r="W22" s="17">
        <v>69.849543749999995</v>
      </c>
      <c r="X22" s="17">
        <v>72.244293749999898</v>
      </c>
      <c r="Y22" s="17">
        <v>34.215484375000003</v>
      </c>
      <c r="Z22" s="17">
        <v>41.679962499999903</v>
      </c>
      <c r="AA22" s="17">
        <v>40.578524999999999</v>
      </c>
      <c r="AB22" s="18">
        <v>586.04899999999998</v>
      </c>
      <c r="AC22" s="18">
        <v>501.37400000000002</v>
      </c>
      <c r="AD22" s="18">
        <v>1928.45</v>
      </c>
      <c r="AE22" s="18">
        <v>10.718</v>
      </c>
      <c r="AG22" s="13">
        <f t="shared" si="6"/>
        <v>12.348212500000001</v>
      </c>
      <c r="AH22" s="14">
        <f t="shared" si="7"/>
        <v>3.1535374426306995E-2</v>
      </c>
      <c r="AI22" s="14">
        <f t="shared" si="8"/>
        <v>1.126741989580639E-2</v>
      </c>
      <c r="AJ22" s="14">
        <f t="shared" si="9"/>
        <v>7.4757956403623451E-3</v>
      </c>
      <c r="AK22" s="14">
        <f t="shared" si="10"/>
        <v>2.0267954530500606E-2</v>
      </c>
      <c r="AL22" s="11">
        <f t="shared" si="11"/>
        <v>2823648</v>
      </c>
      <c r="AM22" s="14">
        <v>-12</v>
      </c>
      <c r="AN22" s="15"/>
      <c r="AO22" s="15"/>
      <c r="AP22" s="15"/>
      <c r="AQ22" s="16">
        <v>7902856</v>
      </c>
      <c r="AR22" s="16">
        <v>1873456</v>
      </c>
      <c r="AS22" s="16">
        <v>950192</v>
      </c>
      <c r="AT22" s="16">
        <v>5079208</v>
      </c>
      <c r="AU22" s="17">
        <v>69.849965624999896</v>
      </c>
      <c r="AV22" s="17">
        <v>72.244756249999995</v>
      </c>
      <c r="AW22" s="17">
        <v>34.210128124999997</v>
      </c>
      <c r="AX22" s="17">
        <v>41.664353124999998</v>
      </c>
      <c r="AY22" s="17">
        <v>40.569687500000001</v>
      </c>
      <c r="AZ22" s="18">
        <v>369.15</v>
      </c>
      <c r="BA22" s="18">
        <v>320.548</v>
      </c>
      <c r="BB22" s="18">
        <v>1531.7</v>
      </c>
      <c r="BC22" s="18">
        <v>10.827999999999999</v>
      </c>
      <c r="BE22" s="43">
        <f t="shared" si="12"/>
        <v>1.0002068674319817</v>
      </c>
      <c r="BF22" s="19" t="e">
        <f t="shared" si="13"/>
        <v>#DIV/0!</v>
      </c>
      <c r="BG22" s="19">
        <f t="shared" si="14"/>
        <v>3.5934237058732332E-4</v>
      </c>
      <c r="BH22" s="19"/>
      <c r="BJ22" s="43"/>
      <c r="BK22" s="43"/>
      <c r="BL22" s="43"/>
      <c r="BM22" s="43"/>
      <c r="BN22" s="43"/>
      <c r="BP22" s="43"/>
      <c r="BQ22" s="43"/>
      <c r="BR22" s="43"/>
      <c r="BS22" s="43"/>
      <c r="BT22" s="43"/>
      <c r="BV22" s="51">
        <f t="shared" si="15"/>
        <v>0.37010386503517623</v>
      </c>
      <c r="BW22" s="51">
        <f t="shared" si="15"/>
        <v>0.36066090383625798</v>
      </c>
      <c r="BX22" s="51">
        <f t="shared" si="15"/>
        <v>0.20573517591848375</v>
      </c>
      <c r="BY22" s="51">
        <f t="shared" si="16"/>
        <v>0.36538238443571713</v>
      </c>
      <c r="BZ22" s="55"/>
      <c r="CA22" s="51"/>
      <c r="CC22" s="57"/>
    </row>
    <row r="23" spans="1:84" outlineLevel="1" x14ac:dyDescent="0.15">
      <c r="A23" s="46"/>
      <c r="B23" s="46" t="s">
        <v>26</v>
      </c>
      <c r="C23" s="3" t="s">
        <v>147</v>
      </c>
      <c r="D23" s="46">
        <v>250602891</v>
      </c>
      <c r="E23" s="3">
        <v>10</v>
      </c>
      <c r="F23" s="3">
        <v>32</v>
      </c>
      <c r="G23" s="3">
        <v>50</v>
      </c>
      <c r="I23" s="4">
        <f t="shared" si="0"/>
        <v>22.005125</v>
      </c>
      <c r="J23" s="5">
        <f t="shared" si="1"/>
        <v>5.619759590083899E-2</v>
      </c>
      <c r="K23" s="5">
        <f t="shared" si="2"/>
        <v>1.5193503892977835E-2</v>
      </c>
      <c r="L23" s="5">
        <f t="shared" si="3"/>
        <v>1.140187963753379E-2</v>
      </c>
      <c r="M23" s="5">
        <f t="shared" si="4"/>
        <v>4.1004092007861155E-2</v>
      </c>
      <c r="N23" s="46">
        <f t="shared" si="5"/>
        <v>3807536</v>
      </c>
      <c r="O23" s="5">
        <v>-12</v>
      </c>
      <c r="P23" s="6">
        <v>32769151</v>
      </c>
      <c r="Q23" s="6">
        <v>1024035.96875</v>
      </c>
      <c r="R23" s="6">
        <v>36890.875</v>
      </c>
      <c r="S23" s="7">
        <v>14083280</v>
      </c>
      <c r="T23" s="7">
        <v>2857344</v>
      </c>
      <c r="U23" s="7">
        <v>950192</v>
      </c>
      <c r="V23" s="7">
        <v>10275744</v>
      </c>
      <c r="W23" s="8">
        <v>70.891781249999894</v>
      </c>
      <c r="X23" s="8">
        <v>73.621353124999999</v>
      </c>
      <c r="Y23" s="8">
        <v>35.690490625000002</v>
      </c>
      <c r="Z23" s="8">
        <v>42.822521875</v>
      </c>
      <c r="AA23" s="8">
        <v>41.617903124999998</v>
      </c>
      <c r="AB23" s="9">
        <v>633.92999999999995</v>
      </c>
      <c r="AC23" s="9">
        <v>544.75</v>
      </c>
      <c r="AD23" s="9">
        <v>2017</v>
      </c>
      <c r="AE23" s="9">
        <v>10.656000000000001</v>
      </c>
      <c r="AG23" s="4">
        <f t="shared" si="6"/>
        <v>21.996012499999999</v>
      </c>
      <c r="AH23" s="5">
        <f t="shared" si="7"/>
        <v>5.6174324022463092E-2</v>
      </c>
      <c r="AI23" s="5">
        <f t="shared" si="8"/>
        <v>1.5189162362855583E-2</v>
      </c>
      <c r="AJ23" s="5">
        <f t="shared" si="9"/>
        <v>1.1397538107411538E-2</v>
      </c>
      <c r="AK23" s="5">
        <f t="shared" si="10"/>
        <v>4.0985161659607514E-2</v>
      </c>
      <c r="AL23" s="46">
        <f t="shared" si="11"/>
        <v>3806448</v>
      </c>
      <c r="AM23" s="5">
        <v>-12</v>
      </c>
      <c r="AN23" s="6"/>
      <c r="AO23" s="6"/>
      <c r="AP23" s="6"/>
      <c r="AQ23" s="7">
        <v>14077448</v>
      </c>
      <c r="AR23" s="7">
        <v>2856256</v>
      </c>
      <c r="AS23" s="7">
        <v>950192</v>
      </c>
      <c r="AT23" s="7">
        <v>10271000</v>
      </c>
      <c r="AU23" s="8">
        <v>70.892103125000006</v>
      </c>
      <c r="AV23" s="8">
        <v>73.6214937499999</v>
      </c>
      <c r="AW23" s="8">
        <v>35.688478125000003</v>
      </c>
      <c r="AX23" s="8">
        <v>42.815321874999903</v>
      </c>
      <c r="AY23" s="8">
        <v>41.60793125</v>
      </c>
      <c r="AZ23" s="9">
        <v>448.37700000000001</v>
      </c>
      <c r="BA23" s="9">
        <v>375.88200000000001</v>
      </c>
      <c r="BB23" s="9">
        <v>1664.98</v>
      </c>
      <c r="BC23" s="9">
        <v>10.795999999999999</v>
      </c>
      <c r="BE23" s="44">
        <f t="shared" si="12"/>
        <v>0.99971425089611765</v>
      </c>
      <c r="BF23" s="10" t="e">
        <f t="shared" si="13"/>
        <v>#DIV/0!</v>
      </c>
      <c r="BG23" s="10">
        <f t="shared" si="14"/>
        <v>3.4717330259892432E-5</v>
      </c>
      <c r="BH23" s="10"/>
      <c r="BJ23" s="44"/>
      <c r="BK23" s="44"/>
      <c r="BL23" s="44"/>
      <c r="BM23" s="44"/>
      <c r="BN23" s="44"/>
      <c r="BP23" s="44"/>
      <c r="BQ23" s="44"/>
      <c r="BR23" s="44"/>
      <c r="BS23" s="44"/>
      <c r="BT23" s="44"/>
      <c r="BV23" s="51">
        <f t="shared" si="15"/>
        <v>0.29270266433202397</v>
      </c>
      <c r="BW23" s="51">
        <f t="shared" si="15"/>
        <v>0.30999173932996787</v>
      </c>
      <c r="BX23" s="51">
        <f t="shared" si="15"/>
        <v>0.17452652454139811</v>
      </c>
      <c r="BY23" s="51">
        <f t="shared" si="16"/>
        <v>0.30134720183099595</v>
      </c>
      <c r="BZ23" s="55"/>
      <c r="CA23" s="51"/>
      <c r="CC23" s="57"/>
    </row>
    <row r="24" spans="1:84" ht="14.25" outlineLevel="1" thickBot="1" x14ac:dyDescent="0.2">
      <c r="A24" s="30"/>
      <c r="B24" s="30" t="s">
        <v>26</v>
      </c>
      <c r="C24" s="31" t="s">
        <v>148</v>
      </c>
      <c r="D24" s="30">
        <v>250602891</v>
      </c>
      <c r="E24" s="31">
        <v>10</v>
      </c>
      <c r="F24" s="31">
        <v>32</v>
      </c>
      <c r="G24" s="31">
        <v>50</v>
      </c>
      <c r="I24" s="32">
        <f t="shared" si="0"/>
        <v>38.627387499999998</v>
      </c>
      <c r="J24" s="33">
        <f t="shared" si="1"/>
        <v>9.8648215514800269E-2</v>
      </c>
      <c r="K24" s="33">
        <f t="shared" si="2"/>
        <v>2.5280761824890519E-2</v>
      </c>
      <c r="L24" s="33">
        <f t="shared" si="3"/>
        <v>1.7958835119743291E-2</v>
      </c>
      <c r="M24" s="33">
        <f t="shared" si="4"/>
        <v>7.336745368990974E-2</v>
      </c>
      <c r="N24" s="30">
        <f t="shared" si="5"/>
        <v>6335432</v>
      </c>
      <c r="O24" s="33">
        <v>-12</v>
      </c>
      <c r="P24" s="34">
        <v>31405837</v>
      </c>
      <c r="Q24" s="34">
        <v>981432.40625</v>
      </c>
      <c r="R24" s="34">
        <v>18371.09375</v>
      </c>
      <c r="S24" s="35">
        <v>24721528</v>
      </c>
      <c r="T24" s="35">
        <v>4500536</v>
      </c>
      <c r="U24" s="35">
        <v>1834896</v>
      </c>
      <c r="V24" s="35">
        <v>18386096</v>
      </c>
      <c r="W24" s="36">
        <v>71.729621874999907</v>
      </c>
      <c r="X24" s="36">
        <v>75.643156249999905</v>
      </c>
      <c r="Y24" s="36">
        <v>36.543587500000001</v>
      </c>
      <c r="Z24" s="36">
        <v>43.589959374999999</v>
      </c>
      <c r="AA24" s="36">
        <v>42.051628125000001</v>
      </c>
      <c r="AB24" s="37">
        <v>679.25900000000001</v>
      </c>
      <c r="AC24" s="37">
        <v>624.96</v>
      </c>
      <c r="AD24" s="37">
        <v>2170.64</v>
      </c>
      <c r="AE24" s="37">
        <v>11.045999999999999</v>
      </c>
      <c r="AG24" s="32">
        <f t="shared" si="6"/>
        <v>38.610162500000001</v>
      </c>
      <c r="AH24" s="33">
        <f t="shared" si="7"/>
        <v>9.8604225599296852E-2</v>
      </c>
      <c r="AI24" s="33">
        <f t="shared" si="8"/>
        <v>2.5289796038306677E-2</v>
      </c>
      <c r="AJ24" s="33">
        <f t="shared" si="9"/>
        <v>1.7967869333159449E-2</v>
      </c>
      <c r="AK24" s="33">
        <f t="shared" si="10"/>
        <v>7.3314429560990185E-2</v>
      </c>
      <c r="AL24" s="30">
        <f t="shared" si="11"/>
        <v>6337696</v>
      </c>
      <c r="AM24" s="33">
        <v>-12</v>
      </c>
      <c r="AN24" s="34"/>
      <c r="AO24" s="34"/>
      <c r="AP24" s="34"/>
      <c r="AQ24" s="35">
        <v>24710504</v>
      </c>
      <c r="AR24" s="35">
        <v>4502800</v>
      </c>
      <c r="AS24" s="35">
        <v>1834896</v>
      </c>
      <c r="AT24" s="35">
        <v>18372808</v>
      </c>
      <c r="AU24" s="36">
        <v>71.729331250000001</v>
      </c>
      <c r="AV24" s="36">
        <v>75.638956249999893</v>
      </c>
      <c r="AW24" s="36">
        <v>36.542156249999998</v>
      </c>
      <c r="AX24" s="36">
        <v>43.579243750000003</v>
      </c>
      <c r="AY24" s="36">
        <v>42.042050000000003</v>
      </c>
      <c r="AZ24" s="37">
        <v>572.40499999999997</v>
      </c>
      <c r="BA24" s="37">
        <v>491.54</v>
      </c>
      <c r="BB24" s="37">
        <v>1920.64</v>
      </c>
      <c r="BC24" s="37">
        <v>10.859</v>
      </c>
      <c r="BE24" s="38">
        <f t="shared" si="12"/>
        <v>1.0003573552679597</v>
      </c>
      <c r="BF24" s="39" t="e">
        <f t="shared" si="13"/>
        <v>#DIV/0!</v>
      </c>
      <c r="BG24" s="39">
        <f t="shared" si="14"/>
        <v>2.0595051405336573E-4</v>
      </c>
      <c r="BH24" s="39"/>
      <c r="BJ24" s="38"/>
      <c r="BK24" s="38"/>
      <c r="BL24" s="38"/>
      <c r="BM24" s="38"/>
      <c r="BN24" s="38"/>
      <c r="BP24" s="38"/>
      <c r="BQ24" s="38"/>
      <c r="BR24" s="38"/>
      <c r="BS24" s="38"/>
      <c r="BT24" s="38"/>
      <c r="BV24" s="52">
        <f t="shared" si="15"/>
        <v>0.15730965655221357</v>
      </c>
      <c r="BW24" s="52">
        <f t="shared" si="15"/>
        <v>0.2134856630824373</v>
      </c>
      <c r="BX24" s="52">
        <f t="shared" si="15"/>
        <v>0.11517340507868637</v>
      </c>
      <c r="BY24" s="52">
        <f t="shared" si="16"/>
        <v>0.18539765981732542</v>
      </c>
      <c r="BZ24" s="55">
        <f>AVERAGE(BV20:BV24)</f>
        <v>0.33761629361463291</v>
      </c>
      <c r="CA24" s="51">
        <f>AVERAGE(BW20:BW24)</f>
        <v>0.34169052599445754</v>
      </c>
      <c r="CB24" s="51">
        <f>AVERAGE(BX20:BX24)</f>
        <v>0.1914215930366813</v>
      </c>
      <c r="CC24" s="58">
        <f>AVERAGE(BY20:BY24)</f>
        <v>0.33965340980454528</v>
      </c>
      <c r="CD24" s="51">
        <f>(SUM(AB20:AB24)-SUM(AZ20:AZ24))/SUM(AB20:AB24)</f>
        <v>0.32797988826364777</v>
      </c>
      <c r="CE24" s="51">
        <f>(SUM(AC20:AC24)-SUM(BA20:BA24))/SUM(AC20:AC24)</f>
        <v>0.33307739598965869</v>
      </c>
      <c r="CF24" s="51">
        <f>(SUM(AB20:AC24)-SUM(AZ20:BA24))/SUM(AB20:AC24)</f>
        <v>0.33036132942855434</v>
      </c>
    </row>
    <row r="25" spans="1:84" x14ac:dyDescent="0.15">
      <c r="A25" s="46" t="s">
        <v>149</v>
      </c>
      <c r="B25" s="46" t="s">
        <v>27</v>
      </c>
      <c r="C25" s="3" t="s">
        <v>144</v>
      </c>
      <c r="D25" s="46">
        <v>250294582</v>
      </c>
      <c r="E25" s="3">
        <v>10</v>
      </c>
      <c r="F25" s="3">
        <v>32</v>
      </c>
      <c r="G25" s="3">
        <v>30</v>
      </c>
      <c r="I25" s="4">
        <f t="shared" si="0"/>
        <v>4.3608675000000003</v>
      </c>
      <c r="J25" s="5">
        <f t="shared" si="1"/>
        <v>1.8584469399341611E-2</v>
      </c>
      <c r="K25" s="5">
        <f t="shared" si="2"/>
        <v>6.4496481989370427E-3</v>
      </c>
      <c r="L25" s="5">
        <f t="shared" si="3"/>
        <v>3.6966041877806209E-3</v>
      </c>
      <c r="M25" s="5">
        <f t="shared" si="4"/>
        <v>1.213482120040457E-2</v>
      </c>
      <c r="N25" s="46">
        <f t="shared" si="5"/>
        <v>1614312</v>
      </c>
      <c r="O25" s="5">
        <v>-12</v>
      </c>
      <c r="P25" s="6">
        <v>23148086</v>
      </c>
      <c r="Q25" s="6">
        <v>723377.6875</v>
      </c>
      <c r="R25" s="6">
        <v>13979.90625</v>
      </c>
      <c r="S25" s="7">
        <v>4651592</v>
      </c>
      <c r="T25" s="7">
        <v>925240</v>
      </c>
      <c r="U25" s="7">
        <v>689072</v>
      </c>
      <c r="V25" s="7">
        <v>3037280</v>
      </c>
      <c r="W25" s="8">
        <v>66.202731249999999</v>
      </c>
      <c r="X25" s="8">
        <v>67.991668750000002</v>
      </c>
      <c r="Y25" s="8">
        <v>27.334187499999999</v>
      </c>
      <c r="Z25" s="8">
        <v>33.179340624999902</v>
      </c>
      <c r="AA25" s="8">
        <v>32.601890624999903</v>
      </c>
      <c r="AB25" s="9">
        <v>465.16699999999997</v>
      </c>
      <c r="AC25" s="9">
        <v>439.43200000000002</v>
      </c>
      <c r="AD25" s="9">
        <v>1346.13</v>
      </c>
      <c r="AE25" s="9">
        <v>10.234</v>
      </c>
      <c r="AG25" s="4">
        <f t="shared" si="6"/>
        <v>4.3590375000000003</v>
      </c>
      <c r="AH25" s="5">
        <f t="shared" si="7"/>
        <v>1.8576670588898326E-2</v>
      </c>
      <c r="AI25" s="5">
        <f t="shared" si="8"/>
        <v>6.4462921534593981E-3</v>
      </c>
      <c r="AJ25" s="5">
        <f t="shared" si="9"/>
        <v>3.6932481423029764E-3</v>
      </c>
      <c r="AK25" s="5">
        <f t="shared" si="10"/>
        <v>1.2130378435438927E-2</v>
      </c>
      <c r="AL25" s="46">
        <f t="shared" si="11"/>
        <v>1613472</v>
      </c>
      <c r="AM25" s="5">
        <v>-12</v>
      </c>
      <c r="AN25" s="6"/>
      <c r="AO25" s="6"/>
      <c r="AP25" s="6"/>
      <c r="AQ25" s="7">
        <v>4649640</v>
      </c>
      <c r="AR25" s="7">
        <v>924400</v>
      </c>
      <c r="AS25" s="7">
        <v>689072</v>
      </c>
      <c r="AT25" s="7">
        <v>3036168</v>
      </c>
      <c r="AU25" s="8">
        <v>66.201521874999898</v>
      </c>
      <c r="AV25" s="8">
        <v>67.991328124999995</v>
      </c>
      <c r="AW25" s="8">
        <v>27.33759375</v>
      </c>
      <c r="AX25" s="8">
        <v>33.172640625</v>
      </c>
      <c r="AY25" s="8">
        <v>32.592790624999999</v>
      </c>
      <c r="AZ25" s="9">
        <v>260.44099999999997</v>
      </c>
      <c r="BA25" s="9">
        <v>252.47300000000001</v>
      </c>
      <c r="BB25" s="9">
        <v>952.81200000000001</v>
      </c>
      <c r="BC25" s="9">
        <v>10.609</v>
      </c>
      <c r="BE25" s="44">
        <f t="shared" si="12"/>
        <v>0.99947965449058174</v>
      </c>
      <c r="BF25" s="10" t="e">
        <f t="shared" si="13"/>
        <v>#DIV/0!</v>
      </c>
      <c r="BG25" s="10">
        <f t="shared" si="14"/>
        <v>-3.4963578526503447E-5</v>
      </c>
      <c r="BH25" s="10">
        <f t="array" ref="BH25">AVERAGE(AL25:AL29/AQ25:AQ29) - AVERAGE(N25:N29/S25:S29)</f>
        <v>-3.9887144109573835E-6</v>
      </c>
      <c r="BJ25" s="44">
        <f>IF( OR(ISBLANK(N25:N29),ISBLANK(AL25:AL29), ISBLANK(W25:W29),ISBLANK(AU25:AU29)), "·", bdRateExtend( N25:N29,W25:W29, AL25:AL29,AU25:AU29))</f>
        <v>-4.8306954095733712E-4</v>
      </c>
      <c r="BK25" s="44">
        <f>IF( OR(ISBLANK(N25:N29),ISBLANK(AL25:AL29), ISBLANK(X25:X29),ISBLANK(AV25:AV29)), "·", bdRateExtend( N25:N29,X25:X29, AL25:AL29,AV25:AV29))</f>
        <v>-3.3265084112732435E-4</v>
      </c>
      <c r="BL25" s="44">
        <f>IF( OR(ISBLANK(V25:V29),ISBLANK(AT25:AT29), ISBLANK(Y25:Y29),ISBLANK(AW25:AW29)), "·", bdRateExtend( V25:V29,Y25:Y29, AT25:AT29,AW25:AW29))</f>
        <v>-3.278044806386271E-4</v>
      </c>
      <c r="BM25" s="44">
        <f>IF( OR(ISBLANK(V25:V29),ISBLANK(AT25:AT29), ISBLANK(Z25:Z29),ISBLANK(AX25:AX29)), "·", bdRateExtend( V25:V29,Z25:Z29, AT25:AT29,AX25:AX29))</f>
        <v>3.4250372799182749E-4</v>
      </c>
      <c r="BN25" s="44">
        <f>IF( OR(ISBLANK(V25:V29),ISBLANK(AT25:AT29), ISBLANK(AA25:AA29),ISBLANK(AY25:AY29)), "·", bdRateExtend( V25:V29,AA25:AA29, AT25:AT29,AY25:AY29))</f>
        <v>-4.0327380629845422E-4</v>
      </c>
      <c r="BP25" s="44">
        <f>IF( OR(ISBLANK(S25:S29),ISBLANK(AQ25:AQ29), ISBLANK(W25:W29),ISBLANK(AU25:AU29)), "·", bdRateExtend( S25:S29,W25:W29, AQ25:AQ29,AU25:AU29))</f>
        <v>-5.9111713814108402E-4</v>
      </c>
      <c r="BQ25" s="44">
        <f>IF( OR(ISBLANK(S25:S29),ISBLANK(AQ25:AQ29), ISBLANK(X25:X29),ISBLANK(AV25:AV29)), "·", bdRateExtend( S25:S29,X25:X29, AQ25:AQ29,AV25:AV29))</f>
        <v>-2.701900970806248E-4</v>
      </c>
      <c r="BR25" s="44">
        <f>IF( OR(ISBLANK(S25:S29),ISBLANK(AQ25:AQ29), ISBLANK(Y25:Y29),ISBLANK(AW25:AW29)), "·", bdRateExtend( S25:S29,Y25:Y29, AQ25:AQ29,AW25:AW29))</f>
        <v>-3.16146253259042E-4</v>
      </c>
      <c r="BS25" s="44">
        <f>IF( OR(ISBLANK(S25:S29),ISBLANK(AQ25:AQ29), ISBLANK(Z25:Z29),ISBLANK(AX25:AX29)), "·", bdRateExtend( S25:S29,Z25:Z29, AQ25:AQ29,AX25:AX29))</f>
        <v>1.8664109538035767E-4</v>
      </c>
      <c r="BT25" s="44">
        <f>IF( OR(ISBLANK(S25:S29),ISBLANK(AQ25:AQ29), ISBLANK(AA25:AA29),ISBLANK(AY25:AY29)), "·", bdRateExtend( S25:S29,AA25:AA29, AQ25:AQ29,AY25:AY29))</f>
        <v>-4.5246574571766729E-4</v>
      </c>
      <c r="BV25" s="51">
        <f t="shared" si="15"/>
        <v>0.44011290568763478</v>
      </c>
      <c r="BW25" s="51">
        <f t="shared" si="15"/>
        <v>0.42545604325583936</v>
      </c>
      <c r="BX25" s="51">
        <f t="shared" si="15"/>
        <v>0.29218426154977606</v>
      </c>
      <c r="BY25" s="51">
        <f t="shared" si="16"/>
        <v>0.43278447447173707</v>
      </c>
      <c r="BZ25" s="55"/>
      <c r="CA25" s="51"/>
      <c r="CC25" s="57"/>
    </row>
    <row r="26" spans="1:84" outlineLevel="1" x14ac:dyDescent="0.15">
      <c r="A26" s="11"/>
      <c r="B26" s="11" t="s">
        <v>27</v>
      </c>
      <c r="C26" s="12" t="s">
        <v>145</v>
      </c>
      <c r="D26" s="11">
        <v>250294582</v>
      </c>
      <c r="E26" s="12">
        <v>10</v>
      </c>
      <c r="F26" s="12">
        <v>32</v>
      </c>
      <c r="G26" s="12">
        <v>30</v>
      </c>
      <c r="I26" s="13">
        <f t="shared" si="0"/>
        <v>7.4916749999999999</v>
      </c>
      <c r="J26" s="14">
        <f t="shared" si="1"/>
        <v>3.192685968727841E-2</v>
      </c>
      <c r="K26" s="14">
        <f t="shared" si="2"/>
        <v>7.9828495848144245E-3</v>
      </c>
      <c r="L26" s="14">
        <f t="shared" si="3"/>
        <v>5.2298055736580027E-3</v>
      </c>
      <c r="M26" s="14">
        <f t="shared" si="4"/>
        <v>2.3944010102463983E-2</v>
      </c>
      <c r="N26" s="11">
        <f t="shared" si="5"/>
        <v>1998064</v>
      </c>
      <c r="O26" s="14">
        <v>-12</v>
      </c>
      <c r="P26" s="15">
        <v>24596617</v>
      </c>
      <c r="Q26" s="15">
        <v>768644.28125</v>
      </c>
      <c r="R26" s="15">
        <v>17690.84375</v>
      </c>
      <c r="S26" s="16">
        <v>7991120</v>
      </c>
      <c r="T26" s="16">
        <v>1308992</v>
      </c>
      <c r="U26" s="16">
        <v>689072</v>
      </c>
      <c r="V26" s="16">
        <v>5993056</v>
      </c>
      <c r="W26" s="17">
        <v>67.955109375000006</v>
      </c>
      <c r="X26" s="17">
        <v>69.951062499999907</v>
      </c>
      <c r="Y26" s="17">
        <v>29.714649999999999</v>
      </c>
      <c r="Z26" s="17">
        <v>34.343318750000002</v>
      </c>
      <c r="AA26" s="17">
        <v>33.888874999999999</v>
      </c>
      <c r="AB26" s="18">
        <v>497.53</v>
      </c>
      <c r="AC26" s="18">
        <v>454.13099999999997</v>
      </c>
      <c r="AD26" s="18">
        <v>1392.09</v>
      </c>
      <c r="AE26" s="18">
        <v>10.343</v>
      </c>
      <c r="AG26" s="13">
        <f t="shared" si="6"/>
        <v>7.4865374999999998</v>
      </c>
      <c r="AH26" s="14">
        <f t="shared" si="7"/>
        <v>3.1904965485829016E-2</v>
      </c>
      <c r="AI26" s="14">
        <f t="shared" si="8"/>
        <v>7.9808039951899563E-3</v>
      </c>
      <c r="AJ26" s="14">
        <f t="shared" si="9"/>
        <v>5.2277599840335337E-3</v>
      </c>
      <c r="AK26" s="14">
        <f t="shared" si="10"/>
        <v>2.392416149063906E-2</v>
      </c>
      <c r="AL26" s="11">
        <f t="shared" si="11"/>
        <v>1997552</v>
      </c>
      <c r="AM26" s="14">
        <v>-12</v>
      </c>
      <c r="AN26" s="15"/>
      <c r="AO26" s="15"/>
      <c r="AP26" s="15"/>
      <c r="AQ26" s="16">
        <v>7985640</v>
      </c>
      <c r="AR26" s="16">
        <v>1308480</v>
      </c>
      <c r="AS26" s="16">
        <v>689072</v>
      </c>
      <c r="AT26" s="16">
        <v>5988088</v>
      </c>
      <c r="AU26" s="17">
        <v>67.956946875</v>
      </c>
      <c r="AV26" s="17">
        <v>69.948674999999994</v>
      </c>
      <c r="AW26" s="17">
        <v>29.713318749999999</v>
      </c>
      <c r="AX26" s="17">
        <v>34.336996874999997</v>
      </c>
      <c r="AY26" s="17">
        <v>33.889524999999999</v>
      </c>
      <c r="AZ26" s="18">
        <v>286.59199999999998</v>
      </c>
      <c r="BA26" s="18">
        <v>290.53899999999999</v>
      </c>
      <c r="BB26" s="18">
        <v>1020.2</v>
      </c>
      <c r="BC26" s="18">
        <v>10.375</v>
      </c>
      <c r="BE26" s="43">
        <f t="shared" si="12"/>
        <v>0.99974375195188958</v>
      </c>
      <c r="BF26" s="19" t="e">
        <f t="shared" si="13"/>
        <v>#DIV/0!</v>
      </c>
      <c r="BG26" s="19">
        <f t="shared" si="14"/>
        <v>1.0746724823301745E-4</v>
      </c>
      <c r="BH26" s="19"/>
      <c r="BJ26" s="43"/>
      <c r="BK26" s="43"/>
      <c r="BL26" s="43"/>
      <c r="BM26" s="43"/>
      <c r="BN26" s="43"/>
      <c r="BP26" s="43"/>
      <c r="BQ26" s="43"/>
      <c r="BR26" s="43"/>
      <c r="BS26" s="43"/>
      <c r="BT26" s="43"/>
      <c r="BV26" s="51">
        <f t="shared" si="15"/>
        <v>0.42397041384439127</v>
      </c>
      <c r="BW26" s="51">
        <f t="shared" si="15"/>
        <v>0.36023085849677733</v>
      </c>
      <c r="BX26" s="51">
        <f t="shared" si="15"/>
        <v>0.26714508401037279</v>
      </c>
      <c r="BY26" s="51">
        <f t="shared" si="16"/>
        <v>0.39210063617058433</v>
      </c>
      <c r="BZ26" s="55"/>
      <c r="CA26" s="51"/>
      <c r="CC26" s="57"/>
    </row>
    <row r="27" spans="1:84" outlineLevel="1" x14ac:dyDescent="0.15">
      <c r="A27" s="46"/>
      <c r="B27" s="46" t="s">
        <v>27</v>
      </c>
      <c r="C27" s="3" t="s">
        <v>146</v>
      </c>
      <c r="D27" s="46">
        <v>250294582</v>
      </c>
      <c r="E27" s="3">
        <v>10</v>
      </c>
      <c r="F27" s="3">
        <v>32</v>
      </c>
      <c r="G27" s="3">
        <v>30</v>
      </c>
      <c r="I27" s="4">
        <f t="shared" si="0"/>
        <v>13.183875</v>
      </c>
      <c r="J27" s="5">
        <f t="shared" si="1"/>
        <v>5.6184995646449909E-2</v>
      </c>
      <c r="K27" s="5">
        <f t="shared" si="2"/>
        <v>1.028832497860461E-2</v>
      </c>
      <c r="L27" s="5">
        <f t="shared" si="3"/>
        <v>7.5352809674481885E-3</v>
      </c>
      <c r="M27" s="5">
        <f t="shared" si="4"/>
        <v>4.58966706678453E-2</v>
      </c>
      <c r="N27" s="46">
        <f t="shared" si="5"/>
        <v>2575112</v>
      </c>
      <c r="O27" s="5">
        <v>-12</v>
      </c>
      <c r="P27" s="6">
        <v>24867879</v>
      </c>
      <c r="Q27" s="6">
        <v>777121.21875</v>
      </c>
      <c r="R27" s="6">
        <v>18587.625</v>
      </c>
      <c r="S27" s="7">
        <v>14062800</v>
      </c>
      <c r="T27" s="7">
        <v>1886040</v>
      </c>
      <c r="U27" s="7">
        <v>689072</v>
      </c>
      <c r="V27" s="7">
        <v>11487688</v>
      </c>
      <c r="W27" s="8">
        <v>69.271965624999893</v>
      </c>
      <c r="X27" s="8">
        <v>71.647043749999995</v>
      </c>
      <c r="Y27" s="8">
        <v>32.215471874999999</v>
      </c>
      <c r="Z27" s="8">
        <v>35.579521874999998</v>
      </c>
      <c r="AA27" s="8">
        <v>35.207475000000002</v>
      </c>
      <c r="AB27" s="9">
        <v>528.10500000000002</v>
      </c>
      <c r="AC27" s="9">
        <v>490.21199999999999</v>
      </c>
      <c r="AD27" s="9">
        <v>1456.08</v>
      </c>
      <c r="AE27" s="9">
        <v>10.327999999999999</v>
      </c>
      <c r="AG27" s="4">
        <f t="shared" si="6"/>
        <v>13.185824999999999</v>
      </c>
      <c r="AH27" s="5">
        <f t="shared" si="7"/>
        <v>5.6193305854299318E-2</v>
      </c>
      <c r="AI27" s="5">
        <f t="shared" si="8"/>
        <v>1.0285256594167907E-2</v>
      </c>
      <c r="AJ27" s="5">
        <f t="shared" si="9"/>
        <v>7.5322125830114854E-3</v>
      </c>
      <c r="AK27" s="5">
        <f t="shared" si="10"/>
        <v>4.5908049260131409E-2</v>
      </c>
      <c r="AL27" s="46">
        <f t="shared" si="11"/>
        <v>2574344</v>
      </c>
      <c r="AM27" s="5">
        <v>-12</v>
      </c>
      <c r="AN27" s="6"/>
      <c r="AO27" s="6"/>
      <c r="AP27" s="6"/>
      <c r="AQ27" s="7">
        <v>14064880</v>
      </c>
      <c r="AR27" s="7">
        <v>1885272</v>
      </c>
      <c r="AS27" s="7">
        <v>689072</v>
      </c>
      <c r="AT27" s="7">
        <v>11490536</v>
      </c>
      <c r="AU27" s="8">
        <v>69.271443749999904</v>
      </c>
      <c r="AV27" s="8">
        <v>71.645378124999993</v>
      </c>
      <c r="AW27" s="8">
        <v>32.215534374999997</v>
      </c>
      <c r="AX27" s="8">
        <v>35.583765624999998</v>
      </c>
      <c r="AY27" s="8">
        <v>35.208881249999997</v>
      </c>
      <c r="AZ27" s="9">
        <v>336.142</v>
      </c>
      <c r="BA27" s="9">
        <v>343.08199999999999</v>
      </c>
      <c r="BB27" s="9">
        <v>1117.81</v>
      </c>
      <c r="BC27" s="9">
        <v>10.170999999999999</v>
      </c>
      <c r="BE27" s="44">
        <f t="shared" si="12"/>
        <v>0.9997017605447841</v>
      </c>
      <c r="BF27" s="10" t="e">
        <f t="shared" si="13"/>
        <v>#DIV/0!</v>
      </c>
      <c r="BG27" s="10">
        <f t="shared" si="14"/>
        <v>-8.1684276845933601E-5</v>
      </c>
      <c r="BH27" s="10"/>
      <c r="BJ27" s="44"/>
      <c r="BK27" s="44"/>
      <c r="BL27" s="44"/>
      <c r="BM27" s="44"/>
      <c r="BN27" s="44"/>
      <c r="BP27" s="44"/>
      <c r="BQ27" s="44"/>
      <c r="BR27" s="44"/>
      <c r="BS27" s="44"/>
      <c r="BT27" s="44"/>
      <c r="BV27" s="51">
        <f t="shared" si="15"/>
        <v>0.36349400213972605</v>
      </c>
      <c r="BW27" s="51">
        <f t="shared" si="15"/>
        <v>0.30013545160053201</v>
      </c>
      <c r="BX27" s="51">
        <f t="shared" si="15"/>
        <v>0.23231553211362013</v>
      </c>
      <c r="BY27" s="51">
        <f t="shared" si="16"/>
        <v>0.33181472687012903</v>
      </c>
      <c r="BZ27" s="55"/>
      <c r="CA27" s="51"/>
      <c r="CC27" s="57"/>
    </row>
    <row r="28" spans="1:84" outlineLevel="1" x14ac:dyDescent="0.15">
      <c r="A28" s="11"/>
      <c r="B28" s="11" t="s">
        <v>27</v>
      </c>
      <c r="C28" s="12" t="s">
        <v>147</v>
      </c>
      <c r="D28" s="11">
        <v>250294582</v>
      </c>
      <c r="E28" s="12">
        <v>10</v>
      </c>
      <c r="F28" s="12">
        <v>32</v>
      </c>
      <c r="G28" s="12">
        <v>30</v>
      </c>
      <c r="I28" s="13">
        <f t="shared" si="0"/>
        <v>24.458400000000001</v>
      </c>
      <c r="J28" s="14">
        <f t="shared" si="1"/>
        <v>0.10423301931481681</v>
      </c>
      <c r="K28" s="14">
        <f t="shared" si="2"/>
        <v>1.4138636049261346E-2</v>
      </c>
      <c r="L28" s="14">
        <f t="shared" si="3"/>
        <v>1.1385592038104924E-2</v>
      </c>
      <c r="M28" s="14">
        <f t="shared" si="4"/>
        <v>9.0094383265555467E-2</v>
      </c>
      <c r="N28" s="11">
        <f t="shared" si="5"/>
        <v>3538824</v>
      </c>
      <c r="O28" s="14">
        <v>-12</v>
      </c>
      <c r="P28" s="15">
        <v>25503045</v>
      </c>
      <c r="Q28" s="15">
        <v>796970.15625</v>
      </c>
      <c r="R28" s="15">
        <v>20905.71875</v>
      </c>
      <c r="S28" s="16">
        <v>26088960</v>
      </c>
      <c r="T28" s="16">
        <v>2849752</v>
      </c>
      <c r="U28" s="16">
        <v>689072</v>
      </c>
      <c r="V28" s="16">
        <v>22550136</v>
      </c>
      <c r="W28" s="17">
        <v>70.438771874999901</v>
      </c>
      <c r="X28" s="17">
        <v>72.973003124999906</v>
      </c>
      <c r="Y28" s="17">
        <v>34.905471874999897</v>
      </c>
      <c r="Z28" s="17">
        <v>37.372971874999998</v>
      </c>
      <c r="AA28" s="17">
        <v>36.936059374999999</v>
      </c>
      <c r="AB28" s="18">
        <v>556.94299999999998</v>
      </c>
      <c r="AC28" s="18">
        <v>582.54499999999996</v>
      </c>
      <c r="AD28" s="18">
        <v>1578.13</v>
      </c>
      <c r="AE28" s="18">
        <v>10.359</v>
      </c>
      <c r="AG28" s="13">
        <f t="shared" si="6"/>
        <v>24.444600000000001</v>
      </c>
      <c r="AH28" s="14">
        <f t="shared" si="7"/>
        <v>0.10417420861311333</v>
      </c>
      <c r="AI28" s="14">
        <f t="shared" si="8"/>
        <v>1.4130517615439235E-2</v>
      </c>
      <c r="AJ28" s="14">
        <f t="shared" si="9"/>
        <v>1.1377473604282812E-2</v>
      </c>
      <c r="AK28" s="14">
        <f t="shared" si="10"/>
        <v>9.0043690997674092E-2</v>
      </c>
      <c r="AL28" s="11">
        <f t="shared" si="11"/>
        <v>3536792</v>
      </c>
      <c r="AM28" s="14">
        <v>-12</v>
      </c>
      <c r="AN28" s="15"/>
      <c r="AO28" s="15"/>
      <c r="AP28" s="15"/>
      <c r="AQ28" s="16">
        <v>26074240</v>
      </c>
      <c r="AR28" s="16">
        <v>2847720</v>
      </c>
      <c r="AS28" s="16">
        <v>689072</v>
      </c>
      <c r="AT28" s="16">
        <v>22537448</v>
      </c>
      <c r="AU28" s="17">
        <v>70.438078125000004</v>
      </c>
      <c r="AV28" s="17">
        <v>72.975334375000003</v>
      </c>
      <c r="AW28" s="17">
        <v>34.904799999999902</v>
      </c>
      <c r="AX28" s="17">
        <v>37.3719718749999</v>
      </c>
      <c r="AY28" s="17">
        <v>36.937084374999998</v>
      </c>
      <c r="AZ28" s="18">
        <v>397.75200000000001</v>
      </c>
      <c r="BA28" s="18">
        <v>439.93700000000001</v>
      </c>
      <c r="BB28" s="18">
        <v>1280.33</v>
      </c>
      <c r="BC28" s="18">
        <v>10.311999999999999</v>
      </c>
      <c r="BE28" s="43">
        <f t="shared" si="12"/>
        <v>0.99942579794869701</v>
      </c>
      <c r="BF28" s="19" t="e">
        <f t="shared" si="13"/>
        <v>#DIV/0!</v>
      </c>
      <c r="BG28" s="19">
        <f t="shared" si="14"/>
        <v>-1.3543222417145007E-6</v>
      </c>
      <c r="BH28" s="19"/>
      <c r="BJ28" s="43"/>
      <c r="BK28" s="43"/>
      <c r="BL28" s="43"/>
      <c r="BM28" s="43"/>
      <c r="BN28" s="43"/>
      <c r="BP28" s="43"/>
      <c r="BQ28" s="43"/>
      <c r="BR28" s="43"/>
      <c r="BS28" s="43"/>
      <c r="BT28" s="43"/>
      <c r="BV28" s="51">
        <f t="shared" si="15"/>
        <v>0.28582996823732409</v>
      </c>
      <c r="BW28" s="51">
        <f t="shared" si="15"/>
        <v>0.2448016891398947</v>
      </c>
      <c r="BX28" s="51">
        <f t="shared" si="15"/>
        <v>0.18870435261987298</v>
      </c>
      <c r="BY28" s="51">
        <f t="shared" si="16"/>
        <v>0.26531582868860937</v>
      </c>
      <c r="BZ28" s="55"/>
      <c r="CA28" s="51"/>
      <c r="CC28" s="57"/>
    </row>
    <row r="29" spans="1:84" ht="14.25" outlineLevel="1" thickBot="1" x14ac:dyDescent="0.2">
      <c r="A29" s="20"/>
      <c r="B29" s="20" t="s">
        <v>27</v>
      </c>
      <c r="C29" s="21" t="s">
        <v>148</v>
      </c>
      <c r="D29" s="20">
        <v>250294582</v>
      </c>
      <c r="E29" s="21">
        <v>10</v>
      </c>
      <c r="F29" s="21">
        <v>32</v>
      </c>
      <c r="G29" s="21">
        <v>30</v>
      </c>
      <c r="I29" s="22">
        <f t="shared" si="0"/>
        <v>44.156122500000002</v>
      </c>
      <c r="J29" s="23">
        <f t="shared" si="1"/>
        <v>0.18817772092246088</v>
      </c>
      <c r="K29" s="23">
        <f t="shared" si="2"/>
        <v>2.2856395669004135E-2</v>
      </c>
      <c r="L29" s="23">
        <f t="shared" si="3"/>
        <v>1.7621859669339546E-2</v>
      </c>
      <c r="M29" s="23">
        <f t="shared" si="4"/>
        <v>0.16532132525345675</v>
      </c>
      <c r="N29" s="20">
        <f t="shared" si="5"/>
        <v>5720832</v>
      </c>
      <c r="O29" s="23">
        <v>-12</v>
      </c>
      <c r="P29" s="24">
        <v>24554524</v>
      </c>
      <c r="Q29" s="24">
        <v>767328.875</v>
      </c>
      <c r="R29" s="24">
        <v>9745.3125</v>
      </c>
      <c r="S29" s="25">
        <v>47099864</v>
      </c>
      <c r="T29" s="25">
        <v>4410656</v>
      </c>
      <c r="U29" s="25">
        <v>1310176</v>
      </c>
      <c r="V29" s="25">
        <v>41379032</v>
      </c>
      <c r="W29" s="26">
        <v>71.141515624999997</v>
      </c>
      <c r="X29" s="26">
        <v>74.899956249999903</v>
      </c>
      <c r="Y29" s="26">
        <v>37.334449999999997</v>
      </c>
      <c r="Z29" s="26">
        <v>39.404759374999998</v>
      </c>
      <c r="AA29" s="26">
        <v>38.75755625</v>
      </c>
      <c r="AB29" s="27">
        <v>596.798</v>
      </c>
      <c r="AC29" s="27">
        <v>691.16800000000001</v>
      </c>
      <c r="AD29" s="27">
        <v>1743.5</v>
      </c>
      <c r="AE29" s="27">
        <v>10.561999999999999</v>
      </c>
      <c r="AG29" s="22">
        <f t="shared" si="6"/>
        <v>44.149477500000003</v>
      </c>
      <c r="AH29" s="23">
        <f t="shared" si="7"/>
        <v>0.18814940229109714</v>
      </c>
      <c r="AI29" s="23">
        <f t="shared" si="8"/>
        <v>2.2851185807929313E-2</v>
      </c>
      <c r="AJ29" s="23">
        <f t="shared" si="9"/>
        <v>1.7616649808264728E-2</v>
      </c>
      <c r="AK29" s="23">
        <f t="shared" si="10"/>
        <v>0.16529821648316781</v>
      </c>
      <c r="AL29" s="20">
        <f t="shared" si="11"/>
        <v>5719528</v>
      </c>
      <c r="AM29" s="23">
        <v>-12</v>
      </c>
      <c r="AN29" s="24"/>
      <c r="AO29" s="24"/>
      <c r="AP29" s="24"/>
      <c r="AQ29" s="25">
        <v>47092776</v>
      </c>
      <c r="AR29" s="25">
        <v>4409352</v>
      </c>
      <c r="AS29" s="25">
        <v>1310176</v>
      </c>
      <c r="AT29" s="25">
        <v>41373248</v>
      </c>
      <c r="AU29" s="26">
        <v>71.143946874999997</v>
      </c>
      <c r="AV29" s="26">
        <v>74.897546874999904</v>
      </c>
      <c r="AW29" s="26">
        <v>37.334521875</v>
      </c>
      <c r="AX29" s="26">
        <v>39.405987499999902</v>
      </c>
      <c r="AY29" s="26">
        <v>38.759212499999997</v>
      </c>
      <c r="AZ29" s="27">
        <v>514.11199999999997</v>
      </c>
      <c r="BA29" s="27">
        <v>594.84199999999998</v>
      </c>
      <c r="BB29" s="27">
        <v>1569.05</v>
      </c>
      <c r="BC29" s="27">
        <v>10.25</v>
      </c>
      <c r="BE29" s="28">
        <f t="shared" si="12"/>
        <v>0.99977206112677308</v>
      </c>
      <c r="BF29" s="29" t="e">
        <f t="shared" si="13"/>
        <v>#DIV/0!</v>
      </c>
      <c r="BG29" s="29">
        <f t="shared" si="14"/>
        <v>-9.408642673444656E-6</v>
      </c>
      <c r="BH29" s="29"/>
      <c r="BJ29" s="28"/>
      <c r="BK29" s="28"/>
      <c r="BL29" s="28"/>
      <c r="BM29" s="28"/>
      <c r="BN29" s="28"/>
      <c r="BP29" s="28"/>
      <c r="BQ29" s="28"/>
      <c r="BR29" s="28"/>
      <c r="BS29" s="28"/>
      <c r="BT29" s="28"/>
      <c r="BV29" s="51">
        <f t="shared" si="15"/>
        <v>0.13854939192155474</v>
      </c>
      <c r="BW29" s="51">
        <f t="shared" si="15"/>
        <v>0.13936698458261959</v>
      </c>
      <c r="BX29" s="51">
        <f t="shared" si="15"/>
        <v>0.10005735589331806</v>
      </c>
      <c r="BY29" s="51">
        <f t="shared" si="16"/>
        <v>0.13895818825208717</v>
      </c>
      <c r="BZ29" s="55">
        <f t="shared" ref="BZ29:CA29" si="21">AVERAGE(BV25:BV29)</f>
        <v>0.33039133636612622</v>
      </c>
      <c r="CA29" s="51">
        <f t="shared" si="21"/>
        <v>0.29399820541513261</v>
      </c>
      <c r="CB29" s="51">
        <f>AVERAGE(BX25:BX29)</f>
        <v>0.21608131723739202</v>
      </c>
      <c r="CC29" s="58">
        <f>AVERAGE(BY25:BY29)</f>
        <v>0.31219477089062936</v>
      </c>
      <c r="CD29" s="51">
        <f>(SUM(AB25:AB29)-SUM(AZ25:AZ29))/SUM(AB25:AB29)</f>
        <v>0.32122903654809171</v>
      </c>
      <c r="CE29" s="51">
        <f>(SUM(AC25:AC29)-SUM(BA25:BA29))/SUM(AC25:AC29)</f>
        <v>0.27718469471922363</v>
      </c>
      <c r="CF29" s="51">
        <f>(SUM(AB25:AC29)-SUM(AZ25:BA29))/SUM(AB25:AC29)</f>
        <v>0.29915309812409602</v>
      </c>
    </row>
    <row r="30" spans="1:84" x14ac:dyDescent="0.15">
      <c r="A30" s="11" t="s">
        <v>150</v>
      </c>
      <c r="B30" s="11" t="s">
        <v>28</v>
      </c>
      <c r="C30" s="12" t="s">
        <v>144</v>
      </c>
      <c r="D30" s="11">
        <v>375422539</v>
      </c>
      <c r="E30" s="12">
        <v>11</v>
      </c>
      <c r="F30" s="12">
        <v>32</v>
      </c>
      <c r="G30" s="12">
        <v>30</v>
      </c>
      <c r="I30" s="13" t="str">
        <f t="shared" si="0"/>
        <v>·</v>
      </c>
      <c r="J30" s="14" t="str">
        <f t="shared" si="1"/>
        <v>·</v>
      </c>
      <c r="K30" s="14" t="str">
        <f t="shared" si="2"/>
        <v>·</v>
      </c>
      <c r="L30" s="14" t="str">
        <f t="shared" si="3"/>
        <v>·</v>
      </c>
      <c r="M30" s="14" t="str">
        <f t="shared" si="4"/>
        <v>·</v>
      </c>
      <c r="N30" s="11" t="str">
        <f t="shared" si="5"/>
        <v/>
      </c>
      <c r="O30" s="14">
        <v>-12</v>
      </c>
      <c r="P30" s="15">
        <v>84256321</v>
      </c>
      <c r="Q30" s="15">
        <v>2633010.03125</v>
      </c>
      <c r="R30" s="15">
        <v>31474.3125</v>
      </c>
      <c r="S30" s="16"/>
      <c r="T30" s="16"/>
      <c r="U30" s="16"/>
      <c r="V30" s="16"/>
      <c r="W30" s="17"/>
      <c r="X30" s="17"/>
      <c r="Y30" s="17"/>
      <c r="Z30" s="17"/>
      <c r="AA30" s="17"/>
      <c r="AB30" s="18"/>
      <c r="AC30" s="18"/>
      <c r="AD30" s="18"/>
      <c r="AE30" s="18"/>
      <c r="AG30" s="13" t="str">
        <f t="shared" si="6"/>
        <v>·</v>
      </c>
      <c r="AH30" s="14" t="str">
        <f t="shared" si="7"/>
        <v>·</v>
      </c>
      <c r="AI30" s="14" t="str">
        <f t="shared" si="8"/>
        <v>·</v>
      </c>
      <c r="AJ30" s="14" t="str">
        <f t="shared" si="9"/>
        <v>·</v>
      </c>
      <c r="AK30" s="14" t="str">
        <f t="shared" si="10"/>
        <v>·</v>
      </c>
      <c r="AL30" s="11" t="str">
        <f t="shared" si="11"/>
        <v/>
      </c>
      <c r="AM30" s="14">
        <v>-12</v>
      </c>
      <c r="AN30" s="15"/>
      <c r="AO30" s="15"/>
      <c r="AP30" s="15"/>
      <c r="AQ30" s="16"/>
      <c r="AR30" s="16"/>
      <c r="AS30" s="16"/>
      <c r="AT30" s="16"/>
      <c r="AU30" s="17"/>
      <c r="AV30" s="17"/>
      <c r="AW30" s="17"/>
      <c r="AX30" s="17"/>
      <c r="AY30" s="17"/>
      <c r="AZ30" s="18"/>
      <c r="BA30" s="18"/>
      <c r="BB30" s="18"/>
      <c r="BC30" s="18"/>
      <c r="BE30" s="43" t="e">
        <f t="shared" si="12"/>
        <v>#VALUE!</v>
      </c>
      <c r="BF30" s="19" t="e">
        <f t="shared" si="13"/>
        <v>#DIV/0!</v>
      </c>
      <c r="BG30" s="19" t="e">
        <f t="shared" si="14"/>
        <v>#VALUE!</v>
      </c>
      <c r="BH30" s="19" t="e">
        <f t="array" ref="BH30">AVERAGE(AL30:AL34/AQ30:AQ34) - AVERAGE(N30:N34/S30:S34)</f>
        <v>#VALUE!</v>
      </c>
      <c r="BJ30" s="43" t="str">
        <f>IF( OR(ISBLANK(N30:N34),ISBLANK(AL30:AL34), ISBLANK(W30:W34),ISBLANK(AU30:AU34)), "·", bdRateExtend( N30:N34,W30:W34, AL30:AL34,AU30:AU34))</f>
        <v>·</v>
      </c>
      <c r="BK30" s="43" t="str">
        <f>IF( OR(ISBLANK(N30:N34),ISBLANK(AL30:AL34), ISBLANK(X30:X34),ISBLANK(AV30:AV34)), "·", bdRateExtend( N30:N34,X30:X34, AL30:AL34,AV30:AV34))</f>
        <v>·</v>
      </c>
      <c r="BL30" s="43" t="str">
        <f>IF( OR(ISBLANK(V30:V34),ISBLANK(AT30:AT34), ISBLANK(Y30:Y34),ISBLANK(AW30:AW34)), "·", bdRateExtend( V30:V34,Y30:Y34, AT30:AT34,AW30:AW34))</f>
        <v>·</v>
      </c>
      <c r="BM30" s="43" t="str">
        <f>IF( OR(ISBLANK(V30:V34),ISBLANK(AT30:AT34), ISBLANK(Z30:Z34),ISBLANK(AX30:AX34)), "·", bdRateExtend( V30:V34,Z30:Z34, AT30:AT34,AX30:AX34))</f>
        <v>·</v>
      </c>
      <c r="BN30" s="43" t="str">
        <f>IF( OR(ISBLANK(V30:V34),ISBLANK(AT30:AT34), ISBLANK(AA30:AA34),ISBLANK(AY30:AY34)), "·", bdRateExtend( V30:V34,AA30:AA34, AT30:AT34,AY30:AY34))</f>
        <v>·</v>
      </c>
      <c r="BP30" s="43" t="str">
        <f>IF( OR(ISBLANK(S30:S34),ISBLANK(AQ30:AQ34), ISBLANK(W30:W34),ISBLANK(AU30:AU34)), "·", bdRateExtend( S30:S34,W30:W34, AQ30:AQ34,AU30:AU34))</f>
        <v>·</v>
      </c>
      <c r="BQ30" s="43" t="str">
        <f>IF( OR(ISBLANK(S30:S34),ISBLANK(AQ30:AQ34), ISBLANK(X30:X34),ISBLANK(AV30:AV34)), "·", bdRateExtend( S30:S34,X30:X34, AQ30:AQ34,AV30:AV34))</f>
        <v>·</v>
      </c>
      <c r="BR30" s="43" t="str">
        <f>IF( OR(ISBLANK(S30:S34),ISBLANK(AQ30:AQ34), ISBLANK(Y30:Y34),ISBLANK(AW30:AW34)), "·", bdRateExtend( S30:S34,Y30:Y34, AQ30:AQ34,AW30:AW34))</f>
        <v>·</v>
      </c>
      <c r="BS30" s="43" t="str">
        <f>IF( OR(ISBLANK(S30:S34),ISBLANK(AQ30:AQ34), ISBLANK(Z30:Z34),ISBLANK(AX30:AX34)), "·", bdRateExtend( S30:S34,Z30:Z34, AQ30:AQ34,AX30:AX34))</f>
        <v>·</v>
      </c>
      <c r="BT30" s="43" t="str">
        <f>IF( OR(ISBLANK(S30:S34),ISBLANK(AQ30:AQ34), ISBLANK(AA30:AA34),ISBLANK(AY30:AY34)), "·", bdRateExtend( S30:S34,AA30:AA34, AQ30:AQ34,AY30:AY34))</f>
        <v>·</v>
      </c>
      <c r="BV30" s="51" t="e">
        <f t="shared" si="15"/>
        <v>#DIV/0!</v>
      </c>
      <c r="BW30" s="51" t="e">
        <f t="shared" si="15"/>
        <v>#DIV/0!</v>
      </c>
      <c r="BX30" s="51" t="e">
        <f t="shared" si="15"/>
        <v>#DIV/0!</v>
      </c>
      <c r="BY30" s="51" t="e">
        <f t="shared" si="16"/>
        <v>#DIV/0!</v>
      </c>
      <c r="BZ30" s="55"/>
      <c r="CA30" s="51"/>
      <c r="CC30" s="57"/>
    </row>
    <row r="31" spans="1:84" outlineLevel="1" x14ac:dyDescent="0.15">
      <c r="A31" s="46"/>
      <c r="B31" s="46" t="s">
        <v>28</v>
      </c>
      <c r="C31" s="3" t="s">
        <v>145</v>
      </c>
      <c r="D31" s="46">
        <v>375422539</v>
      </c>
      <c r="E31" s="3">
        <v>11</v>
      </c>
      <c r="F31" s="3">
        <v>32</v>
      </c>
      <c r="G31" s="3">
        <v>30</v>
      </c>
      <c r="I31" s="4" t="str">
        <f t="shared" si="0"/>
        <v>·</v>
      </c>
      <c r="J31" s="5" t="str">
        <f t="shared" si="1"/>
        <v>·</v>
      </c>
      <c r="K31" s="5" t="str">
        <f t="shared" si="2"/>
        <v>·</v>
      </c>
      <c r="L31" s="5" t="str">
        <f t="shared" si="3"/>
        <v>·</v>
      </c>
      <c r="M31" s="5" t="str">
        <f t="shared" si="4"/>
        <v>·</v>
      </c>
      <c r="N31" s="46" t="str">
        <f t="shared" si="5"/>
        <v/>
      </c>
      <c r="O31" s="5">
        <v>-12</v>
      </c>
      <c r="P31" s="6">
        <v>89796795</v>
      </c>
      <c r="Q31" s="6">
        <v>2806149.84375</v>
      </c>
      <c r="R31" s="6">
        <v>39729</v>
      </c>
      <c r="S31" s="7"/>
      <c r="T31" s="7"/>
      <c r="U31" s="7"/>
      <c r="V31" s="7"/>
      <c r="W31" s="8"/>
      <c r="X31" s="8"/>
      <c r="Y31" s="8"/>
      <c r="Z31" s="8"/>
      <c r="AA31" s="8"/>
      <c r="AB31" s="9"/>
      <c r="AC31" s="9"/>
      <c r="AD31" s="9"/>
      <c r="AE31" s="9"/>
      <c r="AG31" s="4" t="str">
        <f t="shared" si="6"/>
        <v>·</v>
      </c>
      <c r="AH31" s="5" t="str">
        <f t="shared" si="7"/>
        <v>·</v>
      </c>
      <c r="AI31" s="5" t="str">
        <f t="shared" si="8"/>
        <v>·</v>
      </c>
      <c r="AJ31" s="5" t="str">
        <f t="shared" si="9"/>
        <v>·</v>
      </c>
      <c r="AK31" s="5" t="str">
        <f t="shared" si="10"/>
        <v>·</v>
      </c>
      <c r="AL31" s="46" t="str">
        <f t="shared" si="11"/>
        <v/>
      </c>
      <c r="AM31" s="5">
        <v>-12</v>
      </c>
      <c r="AN31" s="6"/>
      <c r="AO31" s="6"/>
      <c r="AP31" s="6"/>
      <c r="AQ31" s="7"/>
      <c r="AR31" s="7"/>
      <c r="AS31" s="7"/>
      <c r="AT31" s="7"/>
      <c r="AU31" s="8"/>
      <c r="AV31" s="8"/>
      <c r="AW31" s="8"/>
      <c r="AX31" s="8"/>
      <c r="AY31" s="8"/>
      <c r="AZ31" s="9"/>
      <c r="BA31" s="9"/>
      <c r="BB31" s="9"/>
      <c r="BC31" s="9"/>
      <c r="BE31" s="44" t="e">
        <f t="shared" si="12"/>
        <v>#VALUE!</v>
      </c>
      <c r="BF31" s="10" t="e">
        <f t="shared" si="13"/>
        <v>#DIV/0!</v>
      </c>
      <c r="BG31" s="10" t="e">
        <f t="shared" si="14"/>
        <v>#VALUE!</v>
      </c>
      <c r="BH31" s="10"/>
      <c r="BJ31" s="44"/>
      <c r="BK31" s="44"/>
      <c r="BL31" s="44"/>
      <c r="BM31" s="44"/>
      <c r="BN31" s="44"/>
      <c r="BP31" s="44"/>
      <c r="BQ31" s="44"/>
      <c r="BR31" s="44"/>
      <c r="BS31" s="44"/>
      <c r="BT31" s="44"/>
      <c r="BV31" s="51" t="e">
        <f t="shared" si="15"/>
        <v>#DIV/0!</v>
      </c>
      <c r="BW31" s="51" t="e">
        <f t="shared" si="15"/>
        <v>#DIV/0!</v>
      </c>
      <c r="BX31" s="51" t="e">
        <f t="shared" si="15"/>
        <v>#DIV/0!</v>
      </c>
      <c r="BY31" s="51" t="e">
        <f t="shared" si="16"/>
        <v>#DIV/0!</v>
      </c>
      <c r="BZ31" s="55"/>
      <c r="CA31" s="51"/>
      <c r="CC31" s="57"/>
    </row>
    <row r="32" spans="1:84" outlineLevel="1" x14ac:dyDescent="0.15">
      <c r="A32" s="11"/>
      <c r="B32" s="11" t="s">
        <v>28</v>
      </c>
      <c r="C32" s="12" t="s">
        <v>146</v>
      </c>
      <c r="D32" s="11">
        <v>375422539</v>
      </c>
      <c r="E32" s="12">
        <v>11</v>
      </c>
      <c r="F32" s="12">
        <v>32</v>
      </c>
      <c r="G32" s="12">
        <v>30</v>
      </c>
      <c r="I32" s="13" t="str">
        <f t="shared" si="0"/>
        <v>·</v>
      </c>
      <c r="J32" s="14" t="str">
        <f t="shared" si="1"/>
        <v>·</v>
      </c>
      <c r="K32" s="14" t="str">
        <f t="shared" si="2"/>
        <v>·</v>
      </c>
      <c r="L32" s="14" t="str">
        <f t="shared" si="3"/>
        <v>·</v>
      </c>
      <c r="M32" s="14" t="str">
        <f t="shared" si="4"/>
        <v>·</v>
      </c>
      <c r="N32" s="11" t="str">
        <f t="shared" si="5"/>
        <v/>
      </c>
      <c r="O32" s="14">
        <v>-12</v>
      </c>
      <c r="P32" s="15">
        <v>91551049</v>
      </c>
      <c r="Q32" s="15">
        <v>2860970.28125</v>
      </c>
      <c r="R32" s="15">
        <v>42562.1875</v>
      </c>
      <c r="S32" s="16"/>
      <c r="T32" s="16"/>
      <c r="U32" s="16"/>
      <c r="V32" s="16"/>
      <c r="W32" s="17"/>
      <c r="X32" s="17"/>
      <c r="Y32" s="17"/>
      <c r="Z32" s="17"/>
      <c r="AA32" s="17"/>
      <c r="AB32" s="18"/>
      <c r="AC32" s="18"/>
      <c r="AD32" s="18"/>
      <c r="AE32" s="18"/>
      <c r="AG32" s="13" t="str">
        <f t="shared" si="6"/>
        <v>·</v>
      </c>
      <c r="AH32" s="14" t="str">
        <f t="shared" si="7"/>
        <v>·</v>
      </c>
      <c r="AI32" s="14" t="str">
        <f t="shared" si="8"/>
        <v>·</v>
      </c>
      <c r="AJ32" s="14" t="str">
        <f t="shared" si="9"/>
        <v>·</v>
      </c>
      <c r="AK32" s="14" t="str">
        <f t="shared" si="10"/>
        <v>·</v>
      </c>
      <c r="AL32" s="11" t="str">
        <f t="shared" si="11"/>
        <v/>
      </c>
      <c r="AM32" s="14">
        <v>-12</v>
      </c>
      <c r="AN32" s="15"/>
      <c r="AO32" s="15"/>
      <c r="AP32" s="15"/>
      <c r="AQ32" s="16"/>
      <c r="AR32" s="16"/>
      <c r="AS32" s="16"/>
      <c r="AT32" s="16"/>
      <c r="AU32" s="17"/>
      <c r="AV32" s="17"/>
      <c r="AW32" s="17"/>
      <c r="AX32" s="17"/>
      <c r="AY32" s="17"/>
      <c r="AZ32" s="18"/>
      <c r="BA32" s="18"/>
      <c r="BB32" s="18"/>
      <c r="BC32" s="18"/>
      <c r="BE32" s="43" t="e">
        <f t="shared" si="12"/>
        <v>#VALUE!</v>
      </c>
      <c r="BF32" s="19" t="e">
        <f t="shared" si="13"/>
        <v>#DIV/0!</v>
      </c>
      <c r="BG32" s="19" t="e">
        <f t="shared" si="14"/>
        <v>#VALUE!</v>
      </c>
      <c r="BH32" s="19"/>
      <c r="BJ32" s="43"/>
      <c r="BK32" s="43"/>
      <c r="BL32" s="43"/>
      <c r="BM32" s="43"/>
      <c r="BN32" s="43"/>
      <c r="BP32" s="43"/>
      <c r="BQ32" s="43"/>
      <c r="BR32" s="43"/>
      <c r="BS32" s="43"/>
      <c r="BT32" s="43"/>
      <c r="BV32" s="51" t="e">
        <f t="shared" si="15"/>
        <v>#DIV/0!</v>
      </c>
      <c r="BW32" s="51" t="e">
        <f t="shared" si="15"/>
        <v>#DIV/0!</v>
      </c>
      <c r="BX32" s="51" t="e">
        <f t="shared" si="15"/>
        <v>#DIV/0!</v>
      </c>
      <c r="BY32" s="51" t="e">
        <f t="shared" si="16"/>
        <v>#DIV/0!</v>
      </c>
      <c r="BZ32" s="55"/>
      <c r="CA32" s="51"/>
      <c r="CC32" s="57"/>
    </row>
    <row r="33" spans="1:81" outlineLevel="1" x14ac:dyDescent="0.15">
      <c r="A33" s="46"/>
      <c r="B33" s="46" t="s">
        <v>28</v>
      </c>
      <c r="C33" s="3" t="s">
        <v>147</v>
      </c>
      <c r="D33" s="46">
        <v>375422539</v>
      </c>
      <c r="E33" s="3">
        <v>11</v>
      </c>
      <c r="F33" s="3">
        <v>32</v>
      </c>
      <c r="G33" s="3">
        <v>30</v>
      </c>
      <c r="I33" s="4" t="str">
        <f t="shared" si="0"/>
        <v>·</v>
      </c>
      <c r="J33" s="5" t="str">
        <f t="shared" si="1"/>
        <v>·</v>
      </c>
      <c r="K33" s="5" t="str">
        <f t="shared" si="2"/>
        <v>·</v>
      </c>
      <c r="L33" s="5" t="str">
        <f t="shared" si="3"/>
        <v>·</v>
      </c>
      <c r="M33" s="5" t="str">
        <f t="shared" si="4"/>
        <v>·</v>
      </c>
      <c r="N33" s="46" t="str">
        <f t="shared" si="5"/>
        <v/>
      </c>
      <c r="O33" s="5">
        <v>-12</v>
      </c>
      <c r="P33" s="6">
        <v>93835548</v>
      </c>
      <c r="Q33" s="6">
        <v>2932360.875</v>
      </c>
      <c r="R33" s="6">
        <v>47386.6875</v>
      </c>
      <c r="S33" s="7"/>
      <c r="T33" s="7"/>
      <c r="U33" s="7"/>
      <c r="V33" s="7"/>
      <c r="W33" s="8"/>
      <c r="X33" s="8"/>
      <c r="Y33" s="8"/>
      <c r="Z33" s="8"/>
      <c r="AA33" s="8"/>
      <c r="AB33" s="9"/>
      <c r="AC33" s="9"/>
      <c r="AD33" s="9"/>
      <c r="AE33" s="9"/>
      <c r="AG33" s="4" t="str">
        <f t="shared" si="6"/>
        <v>·</v>
      </c>
      <c r="AH33" s="5" t="str">
        <f t="shared" si="7"/>
        <v>·</v>
      </c>
      <c r="AI33" s="5" t="str">
        <f t="shared" si="8"/>
        <v>·</v>
      </c>
      <c r="AJ33" s="5" t="str">
        <f t="shared" si="9"/>
        <v>·</v>
      </c>
      <c r="AK33" s="5" t="str">
        <f t="shared" si="10"/>
        <v>·</v>
      </c>
      <c r="AL33" s="46" t="str">
        <f t="shared" si="11"/>
        <v/>
      </c>
      <c r="AM33" s="5">
        <v>-12</v>
      </c>
      <c r="AN33" s="6"/>
      <c r="AO33" s="6"/>
      <c r="AP33" s="6"/>
      <c r="AQ33" s="7"/>
      <c r="AR33" s="7"/>
      <c r="AS33" s="7"/>
      <c r="AT33" s="7"/>
      <c r="AU33" s="8"/>
      <c r="AV33" s="8"/>
      <c r="AW33" s="8"/>
      <c r="AX33" s="8"/>
      <c r="AY33" s="8"/>
      <c r="AZ33" s="9"/>
      <c r="BA33" s="9"/>
      <c r="BB33" s="9"/>
      <c r="BC33" s="9"/>
      <c r="BE33" s="44" t="e">
        <f t="shared" si="12"/>
        <v>#VALUE!</v>
      </c>
      <c r="BF33" s="10" t="e">
        <f t="shared" si="13"/>
        <v>#DIV/0!</v>
      </c>
      <c r="BG33" s="10" t="e">
        <f t="shared" si="14"/>
        <v>#VALUE!</v>
      </c>
      <c r="BH33" s="10"/>
      <c r="BJ33" s="44"/>
      <c r="BK33" s="44"/>
      <c r="BL33" s="44"/>
      <c r="BM33" s="44"/>
      <c r="BN33" s="44"/>
      <c r="BP33" s="44"/>
      <c r="BQ33" s="44"/>
      <c r="BR33" s="44"/>
      <c r="BS33" s="44"/>
      <c r="BT33" s="44"/>
      <c r="BV33" s="51" t="e">
        <f t="shared" si="15"/>
        <v>#DIV/0!</v>
      </c>
      <c r="BW33" s="51" t="e">
        <f t="shared" si="15"/>
        <v>#DIV/0!</v>
      </c>
      <c r="BX33" s="51" t="e">
        <f t="shared" si="15"/>
        <v>#DIV/0!</v>
      </c>
      <c r="BY33" s="51" t="e">
        <f t="shared" si="16"/>
        <v>#DIV/0!</v>
      </c>
      <c r="BZ33" s="55"/>
      <c r="CA33" s="51"/>
      <c r="CC33" s="57"/>
    </row>
    <row r="34" spans="1:81" ht="14.25" outlineLevel="1" thickBot="1" x14ac:dyDescent="0.2">
      <c r="A34" s="11"/>
      <c r="B34" s="30" t="s">
        <v>28</v>
      </c>
      <c r="C34" s="31" t="s">
        <v>148</v>
      </c>
      <c r="D34" s="30">
        <v>375422539</v>
      </c>
      <c r="E34" s="31">
        <v>11</v>
      </c>
      <c r="F34" s="31">
        <v>32</v>
      </c>
      <c r="G34" s="31">
        <v>30</v>
      </c>
      <c r="I34" s="32" t="str">
        <f t="shared" si="0"/>
        <v>·</v>
      </c>
      <c r="J34" s="33" t="str">
        <f t="shared" si="1"/>
        <v>·</v>
      </c>
      <c r="K34" s="33" t="str">
        <f t="shared" si="2"/>
        <v>·</v>
      </c>
      <c r="L34" s="33" t="str">
        <f t="shared" si="3"/>
        <v>·</v>
      </c>
      <c r="M34" s="33" t="str">
        <f t="shared" si="4"/>
        <v>·</v>
      </c>
      <c r="N34" s="30" t="str">
        <f t="shared" si="5"/>
        <v/>
      </c>
      <c r="O34" s="33">
        <v>-12</v>
      </c>
      <c r="P34" s="34">
        <v>91937439</v>
      </c>
      <c r="Q34" s="34">
        <v>2873044.96875</v>
      </c>
      <c r="R34" s="34">
        <v>18769.40625</v>
      </c>
      <c r="S34" s="35"/>
      <c r="T34" s="35"/>
      <c r="U34" s="35"/>
      <c r="V34" s="35"/>
      <c r="W34" s="36"/>
      <c r="X34" s="36"/>
      <c r="Y34" s="36"/>
      <c r="Z34" s="36"/>
      <c r="AA34" s="36"/>
      <c r="AB34" s="37"/>
      <c r="AC34" s="37"/>
      <c r="AD34" s="37"/>
      <c r="AE34" s="37"/>
      <c r="AG34" s="32" t="str">
        <f t="shared" si="6"/>
        <v>·</v>
      </c>
      <c r="AH34" s="33" t="str">
        <f t="shared" si="7"/>
        <v>·</v>
      </c>
      <c r="AI34" s="33" t="str">
        <f t="shared" si="8"/>
        <v>·</v>
      </c>
      <c r="AJ34" s="33" t="str">
        <f t="shared" si="9"/>
        <v>·</v>
      </c>
      <c r="AK34" s="33" t="str">
        <f t="shared" si="10"/>
        <v>·</v>
      </c>
      <c r="AL34" s="30" t="str">
        <f t="shared" si="11"/>
        <v/>
      </c>
      <c r="AM34" s="33">
        <v>-12</v>
      </c>
      <c r="AN34" s="34"/>
      <c r="AO34" s="34"/>
      <c r="AP34" s="34"/>
      <c r="AQ34" s="35"/>
      <c r="AR34" s="35"/>
      <c r="AS34" s="35"/>
      <c r="AT34" s="35"/>
      <c r="AU34" s="36"/>
      <c r="AV34" s="36"/>
      <c r="AW34" s="36"/>
      <c r="AX34" s="36"/>
      <c r="AY34" s="36"/>
      <c r="AZ34" s="37"/>
      <c r="BA34" s="37"/>
      <c r="BB34" s="37"/>
      <c r="BC34" s="37"/>
      <c r="BE34" s="38" t="e">
        <f t="shared" si="12"/>
        <v>#VALUE!</v>
      </c>
      <c r="BF34" s="39" t="e">
        <f t="shared" si="13"/>
        <v>#DIV/0!</v>
      </c>
      <c r="BG34" s="39" t="e">
        <f t="shared" si="14"/>
        <v>#VALUE!</v>
      </c>
      <c r="BH34" s="39"/>
      <c r="BJ34" s="38"/>
      <c r="BK34" s="38"/>
      <c r="BL34" s="38"/>
      <c r="BM34" s="38"/>
      <c r="BN34" s="38"/>
      <c r="BP34" s="38"/>
      <c r="BQ34" s="38"/>
      <c r="BR34" s="38"/>
      <c r="BS34" s="38"/>
      <c r="BT34" s="38"/>
      <c r="BV34" s="51" t="e">
        <f t="shared" si="15"/>
        <v>#DIV/0!</v>
      </c>
      <c r="BW34" s="51" t="e">
        <f t="shared" si="15"/>
        <v>#DIV/0!</v>
      </c>
      <c r="BX34" s="51" t="e">
        <f t="shared" si="15"/>
        <v>#DIV/0!</v>
      </c>
      <c r="BY34" s="51" t="e">
        <f t="shared" si="16"/>
        <v>#DIV/0!</v>
      </c>
      <c r="BZ34" s="55"/>
      <c r="CA34" s="51"/>
      <c r="CC34" s="57"/>
    </row>
    <row r="35" spans="1:81" x14ac:dyDescent="0.15">
      <c r="A35" s="46"/>
      <c r="B35" s="46" t="s">
        <v>29</v>
      </c>
      <c r="C35" s="3" t="s">
        <v>144</v>
      </c>
      <c r="D35" s="46">
        <v>333190689</v>
      </c>
      <c r="E35" s="3">
        <v>11</v>
      </c>
      <c r="F35" s="3">
        <v>32</v>
      </c>
      <c r="G35" s="3">
        <v>30</v>
      </c>
      <c r="I35" s="4" t="str">
        <f t="shared" si="0"/>
        <v>·</v>
      </c>
      <c r="J35" s="5" t="str">
        <f t="shared" si="1"/>
        <v>·</v>
      </c>
      <c r="K35" s="5" t="str">
        <f t="shared" si="2"/>
        <v>·</v>
      </c>
      <c r="L35" s="5" t="str">
        <f t="shared" si="3"/>
        <v>·</v>
      </c>
      <c r="M35" s="5" t="str">
        <f t="shared" si="4"/>
        <v>·</v>
      </c>
      <c r="N35" s="46" t="str">
        <f t="shared" si="5"/>
        <v/>
      </c>
      <c r="O35" s="5">
        <v>-12</v>
      </c>
      <c r="P35" s="6">
        <v>74921620</v>
      </c>
      <c r="Q35" s="6">
        <v>2341300.625</v>
      </c>
      <c r="R35" s="6">
        <v>30932.375</v>
      </c>
      <c r="S35" s="7"/>
      <c r="T35" s="7"/>
      <c r="U35" s="7"/>
      <c r="V35" s="7"/>
      <c r="W35" s="8"/>
      <c r="X35" s="8"/>
      <c r="Y35" s="8"/>
      <c r="Z35" s="8"/>
      <c r="AA35" s="8"/>
      <c r="AB35" s="9"/>
      <c r="AC35" s="9"/>
      <c r="AD35" s="9"/>
      <c r="AE35" s="9"/>
      <c r="AG35" s="4" t="str">
        <f t="shared" si="6"/>
        <v>·</v>
      </c>
      <c r="AH35" s="5" t="str">
        <f t="shared" si="7"/>
        <v>·</v>
      </c>
      <c r="AI35" s="5" t="str">
        <f t="shared" si="8"/>
        <v>·</v>
      </c>
      <c r="AJ35" s="5" t="str">
        <f t="shared" si="9"/>
        <v>·</v>
      </c>
      <c r="AK35" s="5" t="str">
        <f t="shared" si="10"/>
        <v>·</v>
      </c>
      <c r="AL35" s="46" t="str">
        <f t="shared" si="11"/>
        <v/>
      </c>
      <c r="AM35" s="5">
        <v>-12</v>
      </c>
      <c r="AN35" s="6"/>
      <c r="AO35" s="6"/>
      <c r="AP35" s="6"/>
      <c r="AQ35" s="7"/>
      <c r="AR35" s="7"/>
      <c r="AS35" s="7"/>
      <c r="AT35" s="7"/>
      <c r="AU35" s="8"/>
      <c r="AV35" s="8"/>
      <c r="AW35" s="8"/>
      <c r="AX35" s="8"/>
      <c r="AY35" s="8"/>
      <c r="AZ35" s="9"/>
      <c r="BA35" s="9"/>
      <c r="BB35" s="9"/>
      <c r="BC35" s="9"/>
      <c r="BE35" s="44" t="e">
        <f t="shared" si="12"/>
        <v>#VALUE!</v>
      </c>
      <c r="BF35" s="10" t="e">
        <f t="shared" si="13"/>
        <v>#DIV/0!</v>
      </c>
      <c r="BG35" s="10" t="e">
        <f t="shared" si="14"/>
        <v>#VALUE!</v>
      </c>
      <c r="BH35" s="10" t="e">
        <f t="array" ref="BH35">AVERAGE(AL35:AL39/AQ35:AQ39) - AVERAGE(N35:N39/S35:S39)</f>
        <v>#VALUE!</v>
      </c>
      <c r="BJ35" s="44" t="str">
        <f>IF( OR(ISBLANK(N35:N39),ISBLANK(AL35:AL39), ISBLANK(W35:W39),ISBLANK(AU35:AU39)), "·", bdRateExtend( N35:N39,W35:W39, AL35:AL39,AU35:AU39))</f>
        <v>·</v>
      </c>
      <c r="BK35" s="44" t="str">
        <f>IF( OR(ISBLANK(N35:N39),ISBLANK(AL35:AL39), ISBLANK(X35:X39),ISBLANK(AV35:AV39)), "·", bdRateExtend( N35:N39,X35:X39, AL35:AL39,AV35:AV39))</f>
        <v>·</v>
      </c>
      <c r="BL35" s="44" t="str">
        <f>IF( OR(ISBLANK(V35:V39),ISBLANK(AT35:AT39), ISBLANK(Y35:Y39),ISBLANK(AW35:AW39)), "·", bdRateExtend( V35:V39,Y35:Y39, AT35:AT39,AW35:AW39))</f>
        <v>·</v>
      </c>
      <c r="BM35" s="44" t="str">
        <f>IF( OR(ISBLANK(V35:V39),ISBLANK(AT35:AT39), ISBLANK(Z35:Z39),ISBLANK(AX35:AX39)), "·", bdRateExtend( V35:V39,Z35:Z39, AT35:AT39,AX35:AX39))</f>
        <v>·</v>
      </c>
      <c r="BN35" s="44" t="str">
        <f>IF( OR(ISBLANK(V35:V39),ISBLANK(AT35:AT39), ISBLANK(AA35:AA39),ISBLANK(AY35:AY39)), "·", bdRateExtend( V35:V39,AA35:AA39, AT35:AT39,AY35:AY39))</f>
        <v>·</v>
      </c>
      <c r="BP35" s="44" t="str">
        <f>IF( OR(ISBLANK(S35:S39),ISBLANK(AQ35:AQ39), ISBLANK(W35:W39),ISBLANK(AU35:AU39)), "·", bdRateExtend( S35:S39,W35:W39, AQ35:AQ39,AU35:AU39))</f>
        <v>·</v>
      </c>
      <c r="BQ35" s="44" t="str">
        <f>IF( OR(ISBLANK(S35:S39),ISBLANK(AQ35:AQ39), ISBLANK(X35:X39),ISBLANK(AV35:AV39)), "·", bdRateExtend( S35:S39,X35:X39, AQ35:AQ39,AV35:AV39))</f>
        <v>·</v>
      </c>
      <c r="BR35" s="44" t="str">
        <f>IF( OR(ISBLANK(S35:S39),ISBLANK(AQ35:AQ39), ISBLANK(Y35:Y39),ISBLANK(AW35:AW39)), "·", bdRateExtend( S35:S39,Y35:Y39, AQ35:AQ39,AW35:AW39))</f>
        <v>·</v>
      </c>
      <c r="BS35" s="44" t="str">
        <f>IF( OR(ISBLANK(S35:S39),ISBLANK(AQ35:AQ39), ISBLANK(Z35:Z39),ISBLANK(AX35:AX39)), "·", bdRateExtend( S35:S39,Z35:Z39, AQ35:AQ39,AX35:AX39))</f>
        <v>·</v>
      </c>
      <c r="BT35" s="44" t="str">
        <f>IF( OR(ISBLANK(S35:S39),ISBLANK(AQ35:AQ39), ISBLANK(AA35:AA39),ISBLANK(AY35:AY39)), "·", bdRateExtend( S35:S39,AA35:AA39, AQ35:AQ39,AY35:AY39))</f>
        <v>·</v>
      </c>
      <c r="BV35" s="51" t="e">
        <f t="shared" si="15"/>
        <v>#DIV/0!</v>
      </c>
      <c r="BW35" s="51" t="e">
        <f t="shared" si="15"/>
        <v>#DIV/0!</v>
      </c>
      <c r="BX35" s="51" t="e">
        <f t="shared" si="15"/>
        <v>#DIV/0!</v>
      </c>
      <c r="BY35" s="51" t="e">
        <f t="shared" si="16"/>
        <v>#DIV/0!</v>
      </c>
      <c r="BZ35" s="55"/>
      <c r="CA35" s="51"/>
      <c r="CC35" s="57"/>
    </row>
    <row r="36" spans="1:81" outlineLevel="1" x14ac:dyDescent="0.15">
      <c r="A36" s="11"/>
      <c r="B36" s="11" t="s">
        <v>29</v>
      </c>
      <c r="C36" s="12" t="s">
        <v>145</v>
      </c>
      <c r="D36" s="11">
        <v>333190689</v>
      </c>
      <c r="E36" s="12">
        <v>11</v>
      </c>
      <c r="F36" s="12">
        <v>32</v>
      </c>
      <c r="G36" s="12">
        <v>30</v>
      </c>
      <c r="I36" s="13" t="str">
        <f t="shared" si="0"/>
        <v>·</v>
      </c>
      <c r="J36" s="14" t="str">
        <f t="shared" si="1"/>
        <v>·</v>
      </c>
      <c r="K36" s="14" t="str">
        <f t="shared" si="2"/>
        <v>·</v>
      </c>
      <c r="L36" s="14" t="str">
        <f t="shared" si="3"/>
        <v>·</v>
      </c>
      <c r="M36" s="14" t="str">
        <f t="shared" si="4"/>
        <v>·</v>
      </c>
      <c r="N36" s="11" t="str">
        <f t="shared" si="5"/>
        <v/>
      </c>
      <c r="O36" s="14">
        <v>-12</v>
      </c>
      <c r="P36" s="15">
        <v>79893061</v>
      </c>
      <c r="Q36" s="15">
        <v>2496658.15625</v>
      </c>
      <c r="R36" s="15">
        <v>39014.28125</v>
      </c>
      <c r="S36" s="16"/>
      <c r="T36" s="16"/>
      <c r="U36" s="16"/>
      <c r="V36" s="16"/>
      <c r="W36" s="17"/>
      <c r="X36" s="17"/>
      <c r="Y36" s="17"/>
      <c r="Z36" s="17"/>
      <c r="AA36" s="17"/>
      <c r="AB36" s="18"/>
      <c r="AC36" s="18"/>
      <c r="AD36" s="18"/>
      <c r="AE36" s="18"/>
      <c r="AG36" s="13" t="str">
        <f t="shared" si="6"/>
        <v>·</v>
      </c>
      <c r="AH36" s="14" t="str">
        <f t="shared" si="7"/>
        <v>·</v>
      </c>
      <c r="AI36" s="14" t="str">
        <f t="shared" si="8"/>
        <v>·</v>
      </c>
      <c r="AJ36" s="14" t="str">
        <f t="shared" si="9"/>
        <v>·</v>
      </c>
      <c r="AK36" s="14" t="str">
        <f t="shared" si="10"/>
        <v>·</v>
      </c>
      <c r="AL36" s="11" t="str">
        <f t="shared" si="11"/>
        <v/>
      </c>
      <c r="AM36" s="14">
        <v>-12</v>
      </c>
      <c r="AN36" s="15"/>
      <c r="AO36" s="15"/>
      <c r="AP36" s="15"/>
      <c r="AQ36" s="16"/>
      <c r="AR36" s="16"/>
      <c r="AS36" s="16"/>
      <c r="AT36" s="16"/>
      <c r="AU36" s="17"/>
      <c r="AV36" s="17"/>
      <c r="AW36" s="17"/>
      <c r="AX36" s="17"/>
      <c r="AY36" s="17"/>
      <c r="AZ36" s="18"/>
      <c r="BA36" s="18"/>
      <c r="BB36" s="18"/>
      <c r="BC36" s="18"/>
      <c r="BE36" s="43" t="e">
        <f t="shared" si="12"/>
        <v>#VALUE!</v>
      </c>
      <c r="BF36" s="19" t="e">
        <f t="shared" si="13"/>
        <v>#DIV/0!</v>
      </c>
      <c r="BG36" s="19" t="e">
        <f t="shared" si="14"/>
        <v>#VALUE!</v>
      </c>
      <c r="BH36" s="19"/>
      <c r="BJ36" s="43"/>
      <c r="BK36" s="43"/>
      <c r="BL36" s="43"/>
      <c r="BM36" s="43"/>
      <c r="BN36" s="43"/>
      <c r="BP36" s="43"/>
      <c r="BQ36" s="43"/>
      <c r="BR36" s="43"/>
      <c r="BS36" s="43"/>
      <c r="BT36" s="43"/>
      <c r="BV36" s="51" t="e">
        <f t="shared" si="15"/>
        <v>#DIV/0!</v>
      </c>
      <c r="BW36" s="51" t="e">
        <f t="shared" si="15"/>
        <v>#DIV/0!</v>
      </c>
      <c r="BX36" s="51" t="e">
        <f t="shared" si="15"/>
        <v>#DIV/0!</v>
      </c>
      <c r="BY36" s="51" t="e">
        <f t="shared" si="16"/>
        <v>#DIV/0!</v>
      </c>
      <c r="BZ36" s="55"/>
      <c r="CA36" s="51"/>
      <c r="CC36" s="57"/>
    </row>
    <row r="37" spans="1:81" outlineLevel="1" x14ac:dyDescent="0.15">
      <c r="A37" s="46"/>
      <c r="B37" s="46" t="s">
        <v>29</v>
      </c>
      <c r="C37" s="3" t="s">
        <v>146</v>
      </c>
      <c r="D37" s="46">
        <v>333190689</v>
      </c>
      <c r="E37" s="3">
        <v>11</v>
      </c>
      <c r="F37" s="3">
        <v>32</v>
      </c>
      <c r="G37" s="3">
        <v>30</v>
      </c>
      <c r="I37" s="4" t="str">
        <f t="shared" si="0"/>
        <v>·</v>
      </c>
      <c r="J37" s="5" t="str">
        <f t="shared" si="1"/>
        <v>·</v>
      </c>
      <c r="K37" s="5" t="str">
        <f t="shared" si="2"/>
        <v>·</v>
      </c>
      <c r="L37" s="5" t="str">
        <f t="shared" si="3"/>
        <v>·</v>
      </c>
      <c r="M37" s="5" t="str">
        <f t="shared" si="4"/>
        <v>·</v>
      </c>
      <c r="N37" s="46" t="str">
        <f t="shared" si="5"/>
        <v/>
      </c>
      <c r="O37" s="5">
        <v>-12</v>
      </c>
      <c r="P37" s="6">
        <v>81688385</v>
      </c>
      <c r="Q37" s="6">
        <v>2552762.03125</v>
      </c>
      <c r="R37" s="6">
        <v>42067.1875</v>
      </c>
      <c r="S37" s="7"/>
      <c r="T37" s="7"/>
      <c r="U37" s="7"/>
      <c r="V37" s="7"/>
      <c r="W37" s="8"/>
      <c r="X37" s="8"/>
      <c r="Y37" s="8"/>
      <c r="Z37" s="8"/>
      <c r="AA37" s="8"/>
      <c r="AB37" s="9"/>
      <c r="AC37" s="9"/>
      <c r="AD37" s="9"/>
      <c r="AE37" s="9"/>
      <c r="AG37" s="4" t="str">
        <f t="shared" si="6"/>
        <v>·</v>
      </c>
      <c r="AH37" s="5" t="str">
        <f t="shared" si="7"/>
        <v>·</v>
      </c>
      <c r="AI37" s="5" t="str">
        <f t="shared" si="8"/>
        <v>·</v>
      </c>
      <c r="AJ37" s="5" t="str">
        <f t="shared" si="9"/>
        <v>·</v>
      </c>
      <c r="AK37" s="5" t="str">
        <f t="shared" si="10"/>
        <v>·</v>
      </c>
      <c r="AL37" s="46" t="str">
        <f t="shared" si="11"/>
        <v/>
      </c>
      <c r="AM37" s="5">
        <v>-12</v>
      </c>
      <c r="AN37" s="6"/>
      <c r="AO37" s="6"/>
      <c r="AP37" s="6"/>
      <c r="AQ37" s="7"/>
      <c r="AR37" s="7"/>
      <c r="AS37" s="7"/>
      <c r="AT37" s="7"/>
      <c r="AU37" s="8"/>
      <c r="AV37" s="8"/>
      <c r="AW37" s="8"/>
      <c r="AX37" s="8"/>
      <c r="AY37" s="8"/>
      <c r="AZ37" s="9"/>
      <c r="BA37" s="9"/>
      <c r="BB37" s="9"/>
      <c r="BC37" s="9"/>
      <c r="BE37" s="44" t="e">
        <f t="shared" si="12"/>
        <v>#VALUE!</v>
      </c>
      <c r="BF37" s="10" t="e">
        <f t="shared" si="13"/>
        <v>#DIV/0!</v>
      </c>
      <c r="BG37" s="10" t="e">
        <f t="shared" si="14"/>
        <v>#VALUE!</v>
      </c>
      <c r="BH37" s="10"/>
      <c r="BJ37" s="44"/>
      <c r="BK37" s="44"/>
      <c r="BL37" s="44"/>
      <c r="BM37" s="44"/>
      <c r="BN37" s="44"/>
      <c r="BP37" s="44"/>
      <c r="BQ37" s="44"/>
      <c r="BR37" s="44"/>
      <c r="BS37" s="44"/>
      <c r="BT37" s="44"/>
      <c r="BV37" s="51" t="e">
        <f t="shared" si="15"/>
        <v>#DIV/0!</v>
      </c>
      <c r="BW37" s="51" t="e">
        <f t="shared" si="15"/>
        <v>#DIV/0!</v>
      </c>
      <c r="BX37" s="51" t="e">
        <f t="shared" si="15"/>
        <v>#DIV/0!</v>
      </c>
      <c r="BY37" s="51" t="e">
        <f t="shared" si="16"/>
        <v>#DIV/0!</v>
      </c>
      <c r="BZ37" s="55"/>
      <c r="CA37" s="51"/>
      <c r="CC37" s="57"/>
    </row>
    <row r="38" spans="1:81" outlineLevel="1" x14ac:dyDescent="0.15">
      <c r="A38" s="11"/>
      <c r="B38" s="11" t="s">
        <v>29</v>
      </c>
      <c r="C38" s="12" t="s">
        <v>147</v>
      </c>
      <c r="D38" s="11">
        <v>333190689</v>
      </c>
      <c r="E38" s="12">
        <v>11</v>
      </c>
      <c r="F38" s="12">
        <v>32</v>
      </c>
      <c r="G38" s="12">
        <v>30</v>
      </c>
      <c r="I38" s="13" t="str">
        <f t="shared" si="0"/>
        <v>·</v>
      </c>
      <c r="J38" s="14" t="str">
        <f t="shared" si="1"/>
        <v>·</v>
      </c>
      <c r="K38" s="14" t="str">
        <f t="shared" si="2"/>
        <v>·</v>
      </c>
      <c r="L38" s="14" t="str">
        <f t="shared" si="3"/>
        <v>·</v>
      </c>
      <c r="M38" s="14" t="str">
        <f t="shared" si="4"/>
        <v>·</v>
      </c>
      <c r="N38" s="11" t="str">
        <f t="shared" si="5"/>
        <v/>
      </c>
      <c r="O38" s="14">
        <v>-12</v>
      </c>
      <c r="P38" s="15">
        <v>83757654</v>
      </c>
      <c r="Q38" s="15">
        <v>2617426.6875</v>
      </c>
      <c r="R38" s="15">
        <v>46922.8125</v>
      </c>
      <c r="S38" s="16"/>
      <c r="T38" s="16"/>
      <c r="U38" s="16"/>
      <c r="V38" s="16"/>
      <c r="W38" s="17"/>
      <c r="X38" s="17"/>
      <c r="Y38" s="17"/>
      <c r="Z38" s="17"/>
      <c r="AA38" s="17"/>
      <c r="AB38" s="18"/>
      <c r="AC38" s="18"/>
      <c r="AD38" s="18"/>
      <c r="AE38" s="18"/>
      <c r="AG38" s="13" t="str">
        <f t="shared" si="6"/>
        <v>·</v>
      </c>
      <c r="AH38" s="14" t="str">
        <f t="shared" si="7"/>
        <v>·</v>
      </c>
      <c r="AI38" s="14" t="str">
        <f t="shared" si="8"/>
        <v>·</v>
      </c>
      <c r="AJ38" s="14" t="str">
        <f t="shared" si="9"/>
        <v>·</v>
      </c>
      <c r="AK38" s="14" t="str">
        <f t="shared" si="10"/>
        <v>·</v>
      </c>
      <c r="AL38" s="11" t="str">
        <f t="shared" si="11"/>
        <v/>
      </c>
      <c r="AM38" s="14">
        <v>-12</v>
      </c>
      <c r="AN38" s="15"/>
      <c r="AO38" s="15"/>
      <c r="AP38" s="15"/>
      <c r="AQ38" s="16"/>
      <c r="AR38" s="16"/>
      <c r="AS38" s="16"/>
      <c r="AT38" s="16"/>
      <c r="AU38" s="17"/>
      <c r="AV38" s="17"/>
      <c r="AW38" s="17"/>
      <c r="AX38" s="17"/>
      <c r="AY38" s="17"/>
      <c r="AZ38" s="18"/>
      <c r="BA38" s="18"/>
      <c r="BB38" s="18"/>
      <c r="BC38" s="18"/>
      <c r="BE38" s="43" t="e">
        <f t="shared" si="12"/>
        <v>#VALUE!</v>
      </c>
      <c r="BF38" s="19" t="e">
        <f t="shared" si="13"/>
        <v>#DIV/0!</v>
      </c>
      <c r="BG38" s="19" t="e">
        <f t="shared" si="14"/>
        <v>#VALUE!</v>
      </c>
      <c r="BH38" s="19"/>
      <c r="BJ38" s="43"/>
      <c r="BK38" s="43"/>
      <c r="BL38" s="43"/>
      <c r="BM38" s="43"/>
      <c r="BN38" s="43"/>
      <c r="BP38" s="43"/>
      <c r="BQ38" s="43"/>
      <c r="BR38" s="43"/>
      <c r="BS38" s="43"/>
      <c r="BT38" s="43"/>
      <c r="BV38" s="51" t="e">
        <f t="shared" si="15"/>
        <v>#DIV/0!</v>
      </c>
      <c r="BW38" s="51" t="e">
        <f t="shared" si="15"/>
        <v>#DIV/0!</v>
      </c>
      <c r="BX38" s="51" t="e">
        <f t="shared" si="15"/>
        <v>#DIV/0!</v>
      </c>
      <c r="BY38" s="51" t="e">
        <f t="shared" si="16"/>
        <v>#DIV/0!</v>
      </c>
      <c r="BZ38" s="54"/>
      <c r="CC38" s="57"/>
    </row>
    <row r="39" spans="1:81" ht="14.25" outlineLevel="1" thickBot="1" x14ac:dyDescent="0.2">
      <c r="A39" s="20"/>
      <c r="B39" s="20" t="s">
        <v>29</v>
      </c>
      <c r="C39" s="21" t="s">
        <v>148</v>
      </c>
      <c r="D39" s="20">
        <v>333190689</v>
      </c>
      <c r="E39" s="21">
        <v>11</v>
      </c>
      <c r="F39" s="21">
        <v>32</v>
      </c>
      <c r="G39" s="21">
        <v>30</v>
      </c>
      <c r="I39" s="22" t="str">
        <f t="shared" si="0"/>
        <v>·</v>
      </c>
      <c r="J39" s="23" t="str">
        <f t="shared" si="1"/>
        <v>·</v>
      </c>
      <c r="K39" s="23" t="str">
        <f t="shared" si="2"/>
        <v>·</v>
      </c>
      <c r="L39" s="23" t="str">
        <f t="shared" si="3"/>
        <v>·</v>
      </c>
      <c r="M39" s="23" t="str">
        <f t="shared" si="4"/>
        <v>·</v>
      </c>
      <c r="N39" s="20" t="str">
        <f t="shared" si="5"/>
        <v/>
      </c>
      <c r="O39" s="23">
        <v>-12</v>
      </c>
      <c r="P39" s="24">
        <v>81959857</v>
      </c>
      <c r="Q39" s="24">
        <v>2561245.53125</v>
      </c>
      <c r="R39" s="24">
        <v>18607.15625</v>
      </c>
      <c r="S39" s="25"/>
      <c r="T39" s="25"/>
      <c r="U39" s="25"/>
      <c r="V39" s="25"/>
      <c r="W39" s="26"/>
      <c r="X39" s="26"/>
      <c r="Y39" s="26"/>
      <c r="Z39" s="26"/>
      <c r="AA39" s="26"/>
      <c r="AB39" s="27"/>
      <c r="AC39" s="27"/>
      <c r="AD39" s="27"/>
      <c r="AE39" s="27"/>
      <c r="AG39" s="22" t="str">
        <f t="shared" si="6"/>
        <v>·</v>
      </c>
      <c r="AH39" s="23" t="str">
        <f t="shared" si="7"/>
        <v>·</v>
      </c>
      <c r="AI39" s="23" t="str">
        <f t="shared" si="8"/>
        <v>·</v>
      </c>
      <c r="AJ39" s="23" t="str">
        <f t="shared" si="9"/>
        <v>·</v>
      </c>
      <c r="AK39" s="23" t="str">
        <f t="shared" si="10"/>
        <v>·</v>
      </c>
      <c r="AL39" s="20" t="str">
        <f t="shared" si="11"/>
        <v/>
      </c>
      <c r="AM39" s="23">
        <v>-12</v>
      </c>
      <c r="AN39" s="24"/>
      <c r="AO39" s="24"/>
      <c r="AP39" s="24"/>
      <c r="AQ39" s="25"/>
      <c r="AR39" s="25"/>
      <c r="AS39" s="25"/>
      <c r="AT39" s="25"/>
      <c r="AU39" s="26"/>
      <c r="AV39" s="26"/>
      <c r="AW39" s="26"/>
      <c r="AX39" s="26"/>
      <c r="AY39" s="26"/>
      <c r="AZ39" s="27"/>
      <c r="BA39" s="27"/>
      <c r="BB39" s="27"/>
      <c r="BC39" s="27"/>
      <c r="BE39" s="28" t="e">
        <f t="shared" si="12"/>
        <v>#VALUE!</v>
      </c>
      <c r="BF39" s="29" t="e">
        <f t="shared" si="13"/>
        <v>#DIV/0!</v>
      </c>
      <c r="BG39" s="29" t="e">
        <f t="shared" si="14"/>
        <v>#VALUE!</v>
      </c>
      <c r="BH39" s="29"/>
      <c r="BJ39" s="28"/>
      <c r="BK39" s="28"/>
      <c r="BL39" s="28"/>
      <c r="BM39" s="28"/>
      <c r="BN39" s="28"/>
      <c r="BP39" s="28"/>
      <c r="BQ39" s="28"/>
      <c r="BR39" s="28"/>
      <c r="BS39" s="28"/>
      <c r="BT39" s="28"/>
      <c r="BV39" s="52" t="e">
        <f t="shared" si="15"/>
        <v>#DIV/0!</v>
      </c>
      <c r="BW39" s="52" t="e">
        <f t="shared" si="15"/>
        <v>#DIV/0!</v>
      </c>
      <c r="BX39" s="52" t="e">
        <f t="shared" si="15"/>
        <v>#DIV/0!</v>
      </c>
      <c r="BY39" s="52" t="e">
        <f t="shared" si="16"/>
        <v>#DIV/0!</v>
      </c>
      <c r="BZ39" s="54"/>
      <c r="CC39" s="57"/>
    </row>
    <row r="40" spans="1:81" x14ac:dyDescent="0.15">
      <c r="B40" s="40" t="s">
        <v>9</v>
      </c>
      <c r="J40" s="41">
        <f>AVERAGE(J5:J24)</f>
        <v>4.4208546081002734E-2</v>
      </c>
      <c r="K40" s="41">
        <f>AVERAGE(K5:K24)</f>
        <v>1.3836094495758086E-2</v>
      </c>
      <c r="L40" s="41">
        <f>AVERAGE(L5:L24)</f>
        <v>9.6969495541967075E-3</v>
      </c>
      <c r="M40" s="41">
        <f>AVERAGE(M5:M24)</f>
        <v>3.0372451585244636E-2</v>
      </c>
      <c r="AH40" s="41">
        <f>AVERAGE(AH5:AH24)</f>
        <v>4.4197938274698867E-2</v>
      </c>
      <c r="AI40" s="41">
        <f>AVERAGE(AI5:AI24)</f>
        <v>1.3835611980685655E-2</v>
      </c>
      <c r="AJ40" s="41">
        <f>AVERAGE(AJ5:AJ24)</f>
        <v>9.6964670391242788E-3</v>
      </c>
      <c r="AK40" s="41">
        <f>AVERAGE(AK5:AK24)</f>
        <v>3.0362326294013208E-2</v>
      </c>
      <c r="BE40" s="45">
        <f t="shared" si="12"/>
        <v>0.99996512635320767</v>
      </c>
      <c r="BH40" s="47">
        <f>AVERAGE(BH5:BH24)</f>
        <v>1.0073483936351435E-4</v>
      </c>
      <c r="BJ40" s="45">
        <f>AVERAGE(BJ5:BJ24)</f>
        <v>-1.9776999925807948E-4</v>
      </c>
      <c r="BK40" s="45">
        <f>AVERAGE(BK5:BK24)</f>
        <v>-3.836740734811106E-5</v>
      </c>
      <c r="BL40" s="45">
        <f>AVERAGE(BL5:BL24)</f>
        <v>1.1690140047457553E-3</v>
      </c>
      <c r="BM40" s="45">
        <f>AVERAGE(BM5:BM24)</f>
        <v>1.8355441828921681E-3</v>
      </c>
      <c r="BN40" s="45">
        <f>AVERAGE(BN5:BN24)</f>
        <v>3.2322746541950109E-3</v>
      </c>
      <c r="BP40" s="45">
        <f>AVERAGE(BP5:BP24)</f>
        <v>-4.3059178068760584E-4</v>
      </c>
      <c r="BQ40" s="45">
        <f>AVERAGE(BQ5:BQ24)</f>
        <v>-1.6687300560572216E-4</v>
      </c>
      <c r="BR40" s="45">
        <f>AVERAGE(BR5:BR24)</f>
        <v>8.2035658339568718E-4</v>
      </c>
      <c r="BS40" s="45">
        <f>AVERAGE(BS5:BS24)</f>
        <v>1.758556863435734E-3</v>
      </c>
      <c r="BT40" s="45">
        <f>AVERAGE(BT5:BT24)</f>
        <v>2.36672793089171E-3</v>
      </c>
      <c r="BV40" s="51">
        <f>AVERAGE(BV5:BV29)</f>
        <v>0.32717972311745752</v>
      </c>
      <c r="BW40" s="51">
        <f>AVERAGE(BW5:BW29)</f>
        <v>0.34322108175586807</v>
      </c>
      <c r="BX40" s="51">
        <f>AVERAGE(BX5:BX29)</f>
        <v>0.20303577005773529</v>
      </c>
      <c r="BY40" s="60">
        <f>AVERAGE(BV40:BW40)</f>
        <v>0.33520040243666283</v>
      </c>
      <c r="BZ40" s="54"/>
      <c r="CB40" s="51"/>
      <c r="CC40" s="58"/>
    </row>
    <row r="41" spans="1:81" x14ac:dyDescent="0.15">
      <c r="B41" s="40" t="s">
        <v>10</v>
      </c>
      <c r="J41" s="41">
        <f>AVERAGE(J25:J29)</f>
        <v>7.9821412994069529E-2</v>
      </c>
      <c r="K41" s="41">
        <f>AVERAGE(K25:K29)</f>
        <v>1.2343170896124311E-2</v>
      </c>
      <c r="L41" s="41">
        <f>AVERAGE(L25:L29)</f>
        <v>9.0938284872662568E-3</v>
      </c>
      <c r="M41" s="41">
        <f>AVERAGE(M25:M29)</f>
        <v>6.7478242097945215E-2</v>
      </c>
      <c r="AH41" s="41">
        <f>AVERAGE(AH25:AH29)</f>
        <v>7.9799710566647433E-2</v>
      </c>
      <c r="AI41" s="41">
        <f>AVERAGE(AI25:AI29)</f>
        <v>1.2338811233237162E-2</v>
      </c>
      <c r="AJ41" s="41">
        <f>AVERAGE(AJ25:AJ29)</f>
        <v>9.0894688243791065E-3</v>
      </c>
      <c r="AK41" s="41">
        <f>AVERAGE(AK25:AK29)</f>
        <v>6.7460899333410262E-2</v>
      </c>
      <c r="BE41" s="45">
        <f t="shared" si="12"/>
        <v>0.99964679555003833</v>
      </c>
      <c r="BH41" s="47">
        <f>AVERAGE(BH25:BH29)</f>
        <v>-3.9887144109573835E-6</v>
      </c>
      <c r="BJ41" s="45">
        <f>AVERAGE(BJ25:BJ29)</f>
        <v>-4.8306954095733712E-4</v>
      </c>
      <c r="BK41" s="45">
        <f>AVERAGE(BK25:BK29)</f>
        <v>-3.3265084112732435E-4</v>
      </c>
      <c r="BL41" s="45">
        <f>AVERAGE(BL25:BL29)</f>
        <v>-3.278044806386271E-4</v>
      </c>
      <c r="BM41" s="45">
        <f>AVERAGE(BM25:BM29)</f>
        <v>3.4250372799182749E-4</v>
      </c>
      <c r="BN41" s="45">
        <f>AVERAGE(BN25:BN29)</f>
        <v>-4.0327380629845422E-4</v>
      </c>
      <c r="BP41" s="45">
        <f>AVERAGE(BP25:BP29)</f>
        <v>-5.9111713814108402E-4</v>
      </c>
      <c r="BQ41" s="45">
        <f>AVERAGE(BQ25:BQ29)</f>
        <v>-2.701900970806248E-4</v>
      </c>
      <c r="BR41" s="45">
        <f>AVERAGE(BR25:BR29)</f>
        <v>-3.16146253259042E-4</v>
      </c>
      <c r="BS41" s="45">
        <f>AVERAGE(BS25:BS29)</f>
        <v>1.8664109538035767E-4</v>
      </c>
      <c r="BT41" s="45">
        <f>AVERAGE(BT25:BT29)</f>
        <v>-4.5246574571766729E-4</v>
      </c>
    </row>
    <row r="42" spans="1:81" x14ac:dyDescent="0.15">
      <c r="B42" s="40" t="s">
        <v>11</v>
      </c>
      <c r="J42" s="41" t="e">
        <f>AVERAGE(J30:J39)</f>
        <v>#DIV/0!</v>
      </c>
      <c r="K42" s="41" t="e">
        <f>AVERAGE(K30:K39)</f>
        <v>#DIV/0!</v>
      </c>
      <c r="L42" s="41" t="e">
        <f>AVERAGE(L30:L39)</f>
        <v>#DIV/0!</v>
      </c>
      <c r="M42" s="41" t="e">
        <f>AVERAGE(M30:M39)</f>
        <v>#DIV/0!</v>
      </c>
      <c r="AH42" s="41" t="e">
        <f>AVERAGE(AH30:AH39)</f>
        <v>#DIV/0!</v>
      </c>
      <c r="AI42" s="41" t="e">
        <f>AVERAGE(AI30:AI39)</f>
        <v>#DIV/0!</v>
      </c>
      <c r="AJ42" s="41" t="e">
        <f>AVERAGE(AJ30:AJ39)</f>
        <v>#DIV/0!</v>
      </c>
      <c r="AK42" s="41" t="e">
        <f>AVERAGE(AK30:AK39)</f>
        <v>#DIV/0!</v>
      </c>
      <c r="BE42" s="45" t="e">
        <f t="shared" si="12"/>
        <v>#DIV/0!</v>
      </c>
      <c r="BH42" s="47" t="e">
        <f>AVERAGE(BH30:BH39)</f>
        <v>#VALUE!</v>
      </c>
      <c r="BJ42" s="45" t="e">
        <f>AVERAGE(BJ30:BJ39)</f>
        <v>#DIV/0!</v>
      </c>
      <c r="BK42" s="45" t="e">
        <f>AVERAGE(BK30:BK39)</f>
        <v>#DIV/0!</v>
      </c>
      <c r="BL42" s="45" t="e">
        <f>AVERAGE(BL30:BL39)</f>
        <v>#DIV/0!</v>
      </c>
      <c r="BM42" s="45" t="e">
        <f>AVERAGE(BM30:BM39)</f>
        <v>#DIV/0!</v>
      </c>
      <c r="BN42" s="45" t="e">
        <f>AVERAGE(BN30:BN39)</f>
        <v>#DIV/0!</v>
      </c>
      <c r="BP42" s="45" t="e">
        <f>AVERAGE(BP30:BP39)</f>
        <v>#DIV/0!</v>
      </c>
      <c r="BQ42" s="45" t="e">
        <f>AVERAGE(BQ30:BQ39)</f>
        <v>#DIV/0!</v>
      </c>
      <c r="BR42" s="45" t="e">
        <f>AVERAGE(BR30:BR39)</f>
        <v>#DIV/0!</v>
      </c>
      <c r="BS42" s="45" t="e">
        <f>AVERAGE(BS30:BS39)</f>
        <v>#DIV/0!</v>
      </c>
      <c r="BT42" s="45" t="e">
        <f>AVERAGE(BT30:BT39)</f>
        <v>#DIV/0!</v>
      </c>
    </row>
    <row r="43" spans="1:81" x14ac:dyDescent="0.15">
      <c r="B43" s="40" t="s">
        <v>12</v>
      </c>
      <c r="J43" s="41">
        <f>AVERAGE(J5:J39)</f>
        <v>5.1331119463616091E-2</v>
      </c>
      <c r="K43" s="41">
        <f>AVERAGE(K5:K39)</f>
        <v>1.3537509775831333E-2</v>
      </c>
      <c r="L43" s="41">
        <f>AVERAGE(L5:L39)</f>
        <v>9.5763253408106177E-3</v>
      </c>
      <c r="M43" s="41">
        <f>AVERAGE(M5:M39)</f>
        <v>3.7793609687784752E-2</v>
      </c>
      <c r="AH43" s="41">
        <f>AVERAGE(AH5:AH39)</f>
        <v>5.1318292733088577E-2</v>
      </c>
      <c r="AI43" s="41">
        <f>AVERAGE(AI5:AI39)</f>
        <v>1.3536251831195955E-2</v>
      </c>
      <c r="AJ43" s="41">
        <f>AVERAGE(AJ5:AJ39)</f>
        <v>9.575067396175245E-3</v>
      </c>
      <c r="AK43" s="41">
        <f>AVERAGE(AK5:AK39)</f>
        <v>3.7782040901892612E-2</v>
      </c>
      <c r="BE43" s="45">
        <f t="shared" si="12"/>
        <v>0.99990707710234683</v>
      </c>
      <c r="BH43" s="47" t="e">
        <f>AVERAGE(BH5:BH39)</f>
        <v>#VALUE!</v>
      </c>
      <c r="BJ43" s="45">
        <f>AVERAGE(BJ5:BJ39)</f>
        <v>-2.5482990759793098E-4</v>
      </c>
      <c r="BK43" s="45">
        <f>AVERAGE(BK5:BK39)</f>
        <v>-9.7224094103953718E-5</v>
      </c>
      <c r="BL43" s="45">
        <f>AVERAGE(BL5:BL39)</f>
        <v>8.696503076688789E-4</v>
      </c>
      <c r="BM43" s="45">
        <f>AVERAGE(BM5:BM39)</f>
        <v>1.5369360919120999E-3</v>
      </c>
      <c r="BN43" s="45">
        <f>AVERAGE(BN5:BN39)</f>
        <v>2.5051649620963178E-3</v>
      </c>
      <c r="BP43" s="45">
        <f>AVERAGE(BP5:BP39)</f>
        <v>-4.6269685217830147E-4</v>
      </c>
      <c r="BQ43" s="45">
        <f>AVERAGE(BQ5:BQ39)</f>
        <v>-1.8753642390070268E-4</v>
      </c>
      <c r="BR43" s="45">
        <f>AVERAGE(BR5:BR39)</f>
        <v>5.9305601606474134E-4</v>
      </c>
      <c r="BS43" s="45">
        <f>AVERAGE(BS5:BS39)</f>
        <v>1.4441737098246587E-3</v>
      </c>
      <c r="BT43" s="45">
        <f>AVERAGE(BT5:BT39)</f>
        <v>1.8028891955698344E-3</v>
      </c>
      <c r="BV43" s="51" t="e">
        <f>AVERAGE(BV5:BV39)</f>
        <v>#DIV/0!</v>
      </c>
      <c r="BW43" s="51" t="e">
        <f>AVERAGE(BW5:BW39)</f>
        <v>#DIV/0!</v>
      </c>
      <c r="BX43" s="51" t="e">
        <f t="shared" ref="BX43" si="22">AVERAGE(BX8:BX32)</f>
        <v>#DIV/0!</v>
      </c>
      <c r="BY43" s="51" t="e">
        <f>AVERAGE(BV43:BW43)</f>
        <v>#DIV/0!</v>
      </c>
      <c r="BZ43" s="51"/>
      <c r="CA43" s="51"/>
    </row>
    <row r="44" spans="1:81" hidden="1" outlineLevel="2" x14ac:dyDescent="0.15">
      <c r="A44" s="40" t="s">
        <v>151</v>
      </c>
      <c r="B44" s="40" t="s">
        <v>152</v>
      </c>
      <c r="AB44" s="42">
        <f>SUM(AB5:AB24,AB25:AB29,AB30:AB39)</f>
        <v>13583.588</v>
      </c>
      <c r="AC44" s="42">
        <f>SUM(AC5:AC24,AC25:AC29,AC30:AC39)</f>
        <v>12281.821999999998</v>
      </c>
      <c r="AD44" s="42">
        <f>SUM(AD5:AD24,AD25:AD29,AD30:AD39)</f>
        <v>42747.12999999999</v>
      </c>
      <c r="AE44" s="42">
        <f>SUM(AE5:AE24,AE25:AE29,AE30:AE39)</f>
        <v>256.86500000000001</v>
      </c>
      <c r="AZ44" s="42">
        <f>SUM(AZ5:AZ24,AZ25:AZ29,AZ30:AZ39)</f>
        <v>9278.9699999999993</v>
      </c>
      <c r="BA44" s="42">
        <f>SUM(BA5:BA24,BA25:BA29,BA30:BA39)</f>
        <v>8235.3929999999982</v>
      </c>
      <c r="BB44" s="42">
        <f>SUM(BB5:BB24,BB25:BB29,BB30:BB39)</f>
        <v>34319.062000000005</v>
      </c>
      <c r="BC44" s="42">
        <f>SUM(BC5:BC24,BC25:BC29,BC30:BC39)</f>
        <v>258.36500000000007</v>
      </c>
    </row>
    <row r="45" spans="1:81" hidden="1" outlineLevel="2" x14ac:dyDescent="0.15">
      <c r="B45" s="40" t="s">
        <v>153</v>
      </c>
      <c r="AZ45" s="47">
        <f>AZ44/AB44</f>
        <v>0.683101548721884</v>
      </c>
      <c r="BA45" s="47">
        <f>BA44/AC44</f>
        <v>0.67053512092912593</v>
      </c>
      <c r="BB45" s="47">
        <f>BB44/AD44</f>
        <v>0.80283897421885431</v>
      </c>
      <c r="BC45" s="47">
        <f>BC44/AE44</f>
        <v>1.0058396433924437</v>
      </c>
    </row>
    <row r="46" spans="1:81" ht="27" hidden="1" outlineLevel="2" x14ac:dyDescent="0.15">
      <c r="B46" s="40" t="s">
        <v>154</v>
      </c>
      <c r="AB46" s="42">
        <f>GEOMEAN(AB5:AB24,AB25:AB29,AB30:AB39)</f>
        <v>539.64837334668141</v>
      </c>
      <c r="AC46" s="42">
        <f>GEOMEAN(AC5:AC24,AC25:AC29,AC30:AC39)</f>
        <v>485.97404488690677</v>
      </c>
      <c r="AD46" s="42">
        <f>GEOMEAN(AD5:AD24,AD25:AD29,AD30:AD39)</f>
        <v>1693.5332530839414</v>
      </c>
      <c r="AE46" s="42">
        <f>GEOMEAN(AE5:AE24,AE25:AE29,AE30:AE39)</f>
        <v>10.267166311101912</v>
      </c>
      <c r="AZ46" s="42">
        <f>GEOMEAN(AZ5:AZ24,AZ25:AZ29,AZ30:AZ39)</f>
        <v>358.71648226687324</v>
      </c>
      <c r="BA46" s="42">
        <f>GEOMEAN(BA5:BA24,BA25:BA29,BA30:BA39)</f>
        <v>315.91795307893034</v>
      </c>
      <c r="BB46" s="42">
        <f>GEOMEAN(BB5:BB24,BB25:BB29,BB30:BB39)</f>
        <v>1346.2892313665873</v>
      </c>
      <c r="BC46" s="42">
        <f>GEOMEAN(BC5:BC24,BC25:BC29,BC30:BC39)</f>
        <v>10.323236703233984</v>
      </c>
    </row>
    <row r="47" spans="1:81" ht="27" outlineLevel="2" collapsed="1" x14ac:dyDescent="0.15">
      <c r="B47" s="40" t="s">
        <v>155</v>
      </c>
      <c r="AZ47" s="47">
        <f>AZ46/AB46</f>
        <v>0.66472262307075702</v>
      </c>
      <c r="BA47" s="47">
        <f>BA46/AC46</f>
        <v>0.65007165794718325</v>
      </c>
      <c r="BB47" s="47">
        <f>BB46/AD46</f>
        <v>0.79495884058667332</v>
      </c>
      <c r="BC47" s="47">
        <f>BC46/AE46</f>
        <v>1.0054611360557628</v>
      </c>
    </row>
  </sheetData>
  <mergeCells count="45">
    <mergeCell ref="Q2:Q3"/>
    <mergeCell ref="A1:G1"/>
    <mergeCell ref="I1:AE1"/>
    <mergeCell ref="AG1:BC1"/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AO2:AO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BL2:BN2"/>
    <mergeCell ref="AP2:AP3"/>
    <mergeCell ref="AQ2:AT2"/>
    <mergeCell ref="AU2:AV2"/>
    <mergeCell ref="AW2:AY2"/>
    <mergeCell ref="AZ2:BA2"/>
    <mergeCell ref="BB2:BC2"/>
    <mergeCell ref="BE2:BE3"/>
    <mergeCell ref="BF2:BF3"/>
    <mergeCell ref="BG2:BG3"/>
    <mergeCell ref="BH2:BH3"/>
    <mergeCell ref="BJ2:BK2"/>
    <mergeCell ref="BP2:BQ2"/>
    <mergeCell ref="BR2:BT2"/>
    <mergeCell ref="BV2:BY2"/>
    <mergeCell ref="BZ2:CC2"/>
    <mergeCell ref="CD2:CF2"/>
  </mergeCells>
  <phoneticPr fontId="2" type="noConversion"/>
  <conditionalFormatting sqref="BE5:BE43">
    <cfRule type="cellIs" dxfId="43" priority="1" operator="greaterThanOrEqual">
      <formula>1.03</formula>
    </cfRule>
    <cfRule type="cellIs" dxfId="42" priority="2" operator="lessThanOrEqual">
      <formula>0.97</formula>
    </cfRule>
  </conditionalFormatting>
  <conditionalFormatting sqref="BJ5:BJ43">
    <cfRule type="cellIs" dxfId="41" priority="21" operator="greaterThanOrEqual">
      <formula>0.03</formula>
    </cfRule>
    <cfRule type="cellIs" dxfId="40" priority="22" operator="lessThanOrEqual">
      <formula>-0.03</formula>
    </cfRule>
  </conditionalFormatting>
  <conditionalFormatting sqref="BK5:BK43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L5:BL43">
    <cfRule type="cellIs" dxfId="37" priority="5" operator="greaterThanOrEqual">
      <formula>0.03</formula>
    </cfRule>
    <cfRule type="cellIs" dxfId="36" priority="6" operator="lessThanOrEqual">
      <formula>-0.03</formula>
    </cfRule>
  </conditionalFormatting>
  <conditionalFormatting sqref="BM5:BM43">
    <cfRule type="cellIs" dxfId="35" priority="9" operator="greaterThanOrEqual">
      <formula>0.03</formula>
    </cfRule>
    <cfRule type="cellIs" dxfId="34" priority="10" operator="lessThanOrEqual">
      <formula>-0.03</formula>
    </cfRule>
  </conditionalFormatting>
  <conditionalFormatting sqref="BN5:BN43">
    <cfRule type="cellIs" dxfId="33" priority="11" operator="greaterThanOrEqual">
      <formula>0.03</formula>
    </cfRule>
    <cfRule type="cellIs" dxfId="32" priority="12" operator="lessThanOrEqual">
      <formula>-0.03</formula>
    </cfRule>
  </conditionalFormatting>
  <conditionalFormatting sqref="BP5:BP43">
    <cfRule type="cellIs" dxfId="31" priority="7" operator="greaterThanOrEqual">
      <formula>0.03</formula>
    </cfRule>
    <cfRule type="cellIs" dxfId="30" priority="8" operator="lessThanOrEqual">
      <formula>-0.03</formula>
    </cfRule>
  </conditionalFormatting>
  <conditionalFormatting sqref="BQ5:BQ43">
    <cfRule type="cellIs" dxfId="29" priority="13" operator="greaterThanOrEqual">
      <formula>0.03</formula>
    </cfRule>
    <cfRule type="cellIs" dxfId="28" priority="14" operator="lessThanOrEqual">
      <formula>-0.03</formula>
    </cfRule>
  </conditionalFormatting>
  <conditionalFormatting sqref="BR5:BR43">
    <cfRule type="cellIs" dxfId="27" priority="3" operator="greaterThanOrEqual">
      <formula>0.03</formula>
    </cfRule>
    <cfRule type="cellIs" dxfId="26" priority="4" operator="lessThanOrEqual">
      <formula>-0.03</formula>
    </cfRule>
  </conditionalFormatting>
  <conditionalFormatting sqref="BS5:BS43">
    <cfRule type="cellIs" dxfId="25" priority="15" operator="greaterThanOrEqual">
      <formula>0.03</formula>
    </cfRule>
    <cfRule type="cellIs" dxfId="24" priority="16" operator="lessThanOrEqual">
      <formula>-0.03</formula>
    </cfRule>
  </conditionalFormatting>
  <conditionalFormatting sqref="BT5:BT43">
    <cfRule type="cellIs" dxfId="23" priority="17" operator="greaterThanOrEqual">
      <formula>0.03</formula>
    </cfRule>
    <cfRule type="cellIs" dxfId="22" priority="1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EAB27-AD7A-47D4-B781-69F1ECF43C36}">
  <sheetPr>
    <outlinePr summaryBelow="0"/>
  </sheetPr>
  <dimension ref="A1:CF47"/>
  <sheetViews>
    <sheetView zoomScale="85" zoomScaleNormal="85" workbookViewId="0">
      <pane xSplit="2" ySplit="4" topLeftCell="BH5" activePane="bottomRight" state="frozen"/>
      <selection pane="topRight" activeCell="C1" sqref="C1"/>
      <selection pane="bottomLeft" activeCell="A5" sqref="A5"/>
      <selection pane="bottomRight" activeCell="BV5" sqref="BV5:BY29"/>
    </sheetView>
  </sheetViews>
  <sheetFormatPr defaultRowHeight="13.5" outlineLevelRow="2" x14ac:dyDescent="0.15"/>
  <cols>
    <col min="2" max="2" width="24.75" customWidth="1"/>
    <col min="4" max="5" width="10.75" customWidth="1"/>
    <col min="8" max="8" width="1.75" customWidth="1"/>
    <col min="10" max="13" width="10.75" customWidth="1"/>
    <col min="14" max="14" width="24.75" hidden="1" customWidth="1"/>
    <col min="15" max="15" width="12.75" customWidth="1"/>
    <col min="16" max="16" width="10.75" customWidth="1"/>
    <col min="19" max="22" width="12.75" customWidth="1"/>
    <col min="23" max="27" width="11.75" customWidth="1"/>
    <col min="32" max="32" width="1.75" customWidth="1"/>
    <col min="34" max="37" width="10.75" customWidth="1"/>
    <col min="38" max="38" width="24.75" hidden="1" customWidth="1"/>
    <col min="39" max="39" width="12.75" customWidth="1"/>
    <col min="40" max="40" width="10.75" customWidth="1"/>
    <col min="43" max="46" width="12.75" customWidth="1"/>
    <col min="47" max="51" width="11.75" customWidth="1"/>
    <col min="56" max="56" width="1.75" customWidth="1"/>
    <col min="61" max="61" width="1.75" customWidth="1"/>
    <col min="64" max="66" width="11.75" customWidth="1"/>
    <col min="67" max="67" width="1.75" customWidth="1"/>
    <col min="70" max="72" width="11.75" customWidth="1"/>
    <col min="73" max="73" width="1.75" customWidth="1"/>
    <col min="74" max="74" width="10.75" bestFit="1" customWidth="1"/>
    <col min="75" max="75" width="12" bestFit="1" customWidth="1"/>
    <col min="76" max="76" width="10.625" customWidth="1"/>
    <col min="77" max="79" width="11.25" customWidth="1"/>
    <col min="82" max="84" width="9" style="51"/>
  </cols>
  <sheetData>
    <row r="1" spans="1:84" x14ac:dyDescent="0.15">
      <c r="A1" s="70" t="s">
        <v>50</v>
      </c>
      <c r="B1" s="62"/>
      <c r="C1" s="62"/>
      <c r="D1" s="62"/>
      <c r="E1" s="62"/>
      <c r="F1" s="62"/>
      <c r="G1" s="62"/>
      <c r="I1" s="71" t="e">
        <f>#REF!</f>
        <v>#REF!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G1" s="72" t="e">
        <f>#REF!</f>
        <v>#REF!</v>
      </c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</row>
    <row r="2" spans="1:84" ht="30" customHeight="1" thickBot="1" x14ac:dyDescent="0.2">
      <c r="A2" s="69" t="s">
        <v>51</v>
      </c>
      <c r="B2" s="67" t="s">
        <v>52</v>
      </c>
      <c r="C2" s="69" t="s">
        <v>53</v>
      </c>
      <c r="D2" s="67" t="s">
        <v>54</v>
      </c>
      <c r="E2" s="69" t="s">
        <v>55</v>
      </c>
      <c r="F2" s="67" t="s">
        <v>56</v>
      </c>
      <c r="G2" s="69" t="s">
        <v>57</v>
      </c>
      <c r="I2" s="67" t="s">
        <v>58</v>
      </c>
      <c r="J2" s="63" t="s">
        <v>59</v>
      </c>
      <c r="K2" s="62"/>
      <c r="L2" s="62"/>
      <c r="M2" s="62"/>
      <c r="N2" s="69" t="s">
        <v>60</v>
      </c>
      <c r="O2" s="67" t="s">
        <v>61</v>
      </c>
      <c r="P2" s="69" t="s">
        <v>33</v>
      </c>
      <c r="Q2" s="67" t="s">
        <v>35</v>
      </c>
      <c r="R2" s="69" t="s">
        <v>31</v>
      </c>
      <c r="S2" s="61" t="s">
        <v>62</v>
      </c>
      <c r="T2" s="62"/>
      <c r="U2" s="62"/>
      <c r="V2" s="62"/>
      <c r="W2" s="63" t="s">
        <v>63</v>
      </c>
      <c r="X2" s="62"/>
      <c r="Y2" s="61" t="s">
        <v>64</v>
      </c>
      <c r="Z2" s="62"/>
      <c r="AA2" s="62"/>
      <c r="AB2" s="63" t="s">
        <v>65</v>
      </c>
      <c r="AC2" s="62"/>
      <c r="AD2" s="61" t="s">
        <v>66</v>
      </c>
      <c r="AE2" s="62"/>
      <c r="AG2" s="69" t="s">
        <v>58</v>
      </c>
      <c r="AH2" s="61" t="s">
        <v>59</v>
      </c>
      <c r="AI2" s="62"/>
      <c r="AJ2" s="62"/>
      <c r="AK2" s="62"/>
      <c r="AL2" s="67" t="s">
        <v>67</v>
      </c>
      <c r="AM2" s="69" t="s">
        <v>61</v>
      </c>
      <c r="AN2" s="67" t="s">
        <v>33</v>
      </c>
      <c r="AO2" s="69" t="s">
        <v>35</v>
      </c>
      <c r="AP2" s="67" t="s">
        <v>31</v>
      </c>
      <c r="AQ2" s="63" t="s">
        <v>62</v>
      </c>
      <c r="AR2" s="62"/>
      <c r="AS2" s="62"/>
      <c r="AT2" s="62"/>
      <c r="AU2" s="61" t="s">
        <v>63</v>
      </c>
      <c r="AV2" s="62"/>
      <c r="AW2" s="63" t="s">
        <v>64</v>
      </c>
      <c r="AX2" s="62"/>
      <c r="AY2" s="62"/>
      <c r="AZ2" s="61" t="s">
        <v>65</v>
      </c>
      <c r="BA2" s="62"/>
      <c r="BB2" s="63" t="s">
        <v>66</v>
      </c>
      <c r="BC2" s="62"/>
      <c r="BE2" s="67" t="s">
        <v>68</v>
      </c>
      <c r="BF2" s="69" t="s">
        <v>69</v>
      </c>
      <c r="BG2" s="67" t="s">
        <v>70</v>
      </c>
      <c r="BH2" s="69" t="s">
        <v>70</v>
      </c>
      <c r="BJ2" s="61" t="s">
        <v>0</v>
      </c>
      <c r="BK2" s="62"/>
      <c r="BL2" s="63" t="s">
        <v>1</v>
      </c>
      <c r="BM2" s="62"/>
      <c r="BN2" s="62"/>
      <c r="BP2" s="61" t="s">
        <v>2</v>
      </c>
      <c r="BQ2" s="62"/>
      <c r="BR2" s="63" t="s">
        <v>3</v>
      </c>
      <c r="BS2" s="62"/>
      <c r="BT2" s="62"/>
      <c r="BV2" s="64" t="s">
        <v>478</v>
      </c>
      <c r="BW2" s="64"/>
      <c r="BX2" s="64"/>
      <c r="BY2" s="64"/>
      <c r="BZ2" s="66" t="s">
        <v>481</v>
      </c>
      <c r="CA2" s="66"/>
      <c r="CB2" s="66"/>
      <c r="CC2" s="66"/>
      <c r="CD2" s="65" t="s">
        <v>484</v>
      </c>
      <c r="CE2" s="64"/>
      <c r="CF2" s="64"/>
    </row>
    <row r="3" spans="1:84" ht="14.25" thickBot="1" x14ac:dyDescent="0.2">
      <c r="A3" s="68"/>
      <c r="B3" s="68"/>
      <c r="C3" s="68"/>
      <c r="D3" s="68"/>
      <c r="E3" s="68"/>
      <c r="F3" s="68"/>
      <c r="G3" s="68"/>
      <c r="I3" s="68"/>
      <c r="J3" s="48" t="s">
        <v>15</v>
      </c>
      <c r="K3" s="48" t="s">
        <v>13</v>
      </c>
      <c r="L3" s="48" t="s">
        <v>71</v>
      </c>
      <c r="M3" s="48" t="s">
        <v>72</v>
      </c>
      <c r="N3" s="68"/>
      <c r="O3" s="68"/>
      <c r="P3" s="68"/>
      <c r="Q3" s="68"/>
      <c r="R3" s="68"/>
      <c r="S3" s="49" t="s">
        <v>15</v>
      </c>
      <c r="T3" s="49" t="s">
        <v>71</v>
      </c>
      <c r="U3" s="49" t="s">
        <v>73</v>
      </c>
      <c r="V3" s="49" t="s">
        <v>14</v>
      </c>
      <c r="W3" s="48" t="s">
        <v>4</v>
      </c>
      <c r="X3" s="48" t="s">
        <v>5</v>
      </c>
      <c r="Y3" s="49" t="s">
        <v>6</v>
      </c>
      <c r="Z3" s="49" t="s">
        <v>7</v>
      </c>
      <c r="AA3" s="49" t="s">
        <v>8</v>
      </c>
      <c r="AB3" s="48" t="s">
        <v>74</v>
      </c>
      <c r="AC3" s="48" t="s">
        <v>75</v>
      </c>
      <c r="AD3" s="49" t="s">
        <v>74</v>
      </c>
      <c r="AE3" s="49" t="s">
        <v>75</v>
      </c>
      <c r="AG3" s="68"/>
      <c r="AH3" s="49" t="s">
        <v>15</v>
      </c>
      <c r="AI3" s="49" t="s">
        <v>13</v>
      </c>
      <c r="AJ3" s="49" t="s">
        <v>71</v>
      </c>
      <c r="AK3" s="49" t="s">
        <v>72</v>
      </c>
      <c r="AL3" s="68"/>
      <c r="AM3" s="68"/>
      <c r="AN3" s="68"/>
      <c r="AO3" s="68"/>
      <c r="AP3" s="68"/>
      <c r="AQ3" s="48" t="s">
        <v>15</v>
      </c>
      <c r="AR3" s="48" t="s">
        <v>71</v>
      </c>
      <c r="AS3" s="48" t="s">
        <v>73</v>
      </c>
      <c r="AT3" s="48" t="s">
        <v>14</v>
      </c>
      <c r="AU3" s="49" t="s">
        <v>4</v>
      </c>
      <c r="AV3" s="49" t="s">
        <v>5</v>
      </c>
      <c r="AW3" s="48" t="s">
        <v>6</v>
      </c>
      <c r="AX3" s="48" t="s">
        <v>7</v>
      </c>
      <c r="AY3" s="48" t="s">
        <v>8</v>
      </c>
      <c r="AZ3" s="49" t="s">
        <v>74</v>
      </c>
      <c r="BA3" s="49" t="s">
        <v>75</v>
      </c>
      <c r="BB3" s="48" t="s">
        <v>74</v>
      </c>
      <c r="BC3" s="48" t="s">
        <v>75</v>
      </c>
      <c r="BE3" s="68"/>
      <c r="BF3" s="68"/>
      <c r="BG3" s="68"/>
      <c r="BH3" s="68"/>
      <c r="BJ3" s="49" t="s">
        <v>4</v>
      </c>
      <c r="BK3" s="49" t="s">
        <v>5</v>
      </c>
      <c r="BL3" s="48" t="s">
        <v>6</v>
      </c>
      <c r="BM3" s="48" t="s">
        <v>7</v>
      </c>
      <c r="BN3" s="48" t="s">
        <v>8</v>
      </c>
      <c r="BP3" s="49" t="s">
        <v>4</v>
      </c>
      <c r="BQ3" s="49" t="s">
        <v>5</v>
      </c>
      <c r="BR3" s="48" t="s">
        <v>6</v>
      </c>
      <c r="BS3" s="48" t="s">
        <v>7</v>
      </c>
      <c r="BT3" s="48" t="s">
        <v>8</v>
      </c>
      <c r="BV3" s="50" t="s">
        <v>71</v>
      </c>
      <c r="BW3" s="50" t="s">
        <v>479</v>
      </c>
      <c r="BX3" s="50" t="s">
        <v>480</v>
      </c>
      <c r="BY3" s="56" t="s">
        <v>487</v>
      </c>
      <c r="BZ3" s="53" t="s">
        <v>485</v>
      </c>
      <c r="CA3" s="50" t="s">
        <v>486</v>
      </c>
      <c r="CB3" s="50" t="s">
        <v>480</v>
      </c>
      <c r="CC3" s="56" t="s">
        <v>487</v>
      </c>
      <c r="CD3" s="50" t="s">
        <v>482</v>
      </c>
      <c r="CE3" s="50" t="s">
        <v>483</v>
      </c>
      <c r="CF3" s="50" t="s">
        <v>480</v>
      </c>
    </row>
    <row r="4" spans="1:84" ht="123" hidden="1" customHeight="1" x14ac:dyDescent="0.15">
      <c r="A4" s="1" t="s">
        <v>76</v>
      </c>
      <c r="B4" s="2" t="s">
        <v>77</v>
      </c>
      <c r="C4" s="1" t="s">
        <v>78</v>
      </c>
      <c r="D4" s="2" t="s">
        <v>79</v>
      </c>
      <c r="E4" s="1" t="s">
        <v>80</v>
      </c>
      <c r="F4" s="2" t="s">
        <v>81</v>
      </c>
      <c r="G4" s="1" t="s">
        <v>82</v>
      </c>
      <c r="I4" s="2" t="s">
        <v>83</v>
      </c>
      <c r="J4" s="1" t="s">
        <v>84</v>
      </c>
      <c r="K4" s="1" t="s">
        <v>85</v>
      </c>
      <c r="L4" s="1" t="s">
        <v>86</v>
      </c>
      <c r="M4" s="1" t="s">
        <v>87</v>
      </c>
      <c r="N4" s="1" t="s">
        <v>88</v>
      </c>
      <c r="O4" s="2" t="s">
        <v>89</v>
      </c>
      <c r="P4" s="1" t="s">
        <v>90</v>
      </c>
      <c r="Q4" s="2" t="s">
        <v>91</v>
      </c>
      <c r="R4" s="1" t="s">
        <v>92</v>
      </c>
      <c r="S4" s="2" t="s">
        <v>93</v>
      </c>
      <c r="T4" s="2" t="s">
        <v>94</v>
      </c>
      <c r="U4" s="2" t="s">
        <v>95</v>
      </c>
      <c r="V4" s="2" t="s">
        <v>96</v>
      </c>
      <c r="W4" s="1" t="s">
        <v>97</v>
      </c>
      <c r="X4" s="1" t="s">
        <v>98</v>
      </c>
      <c r="Y4" s="2" t="s">
        <v>99</v>
      </c>
      <c r="Z4" s="2" t="s">
        <v>100</v>
      </c>
      <c r="AA4" s="2" t="s">
        <v>101</v>
      </c>
      <c r="AB4" s="1" t="s">
        <v>102</v>
      </c>
      <c r="AC4" s="1" t="s">
        <v>103</v>
      </c>
      <c r="AD4" s="2" t="s">
        <v>104</v>
      </c>
      <c r="AE4" s="2" t="s">
        <v>105</v>
      </c>
      <c r="AG4" s="1" t="s">
        <v>106</v>
      </c>
      <c r="AH4" s="2" t="s">
        <v>107</v>
      </c>
      <c r="AI4" s="2" t="s">
        <v>108</v>
      </c>
      <c r="AJ4" s="2" t="s">
        <v>109</v>
      </c>
      <c r="AK4" s="2" t="s">
        <v>110</v>
      </c>
      <c r="AL4" s="2" t="s">
        <v>111</v>
      </c>
      <c r="AM4" s="1" t="s">
        <v>112</v>
      </c>
      <c r="AN4" s="2" t="s">
        <v>113</v>
      </c>
      <c r="AO4" s="1" t="s">
        <v>114</v>
      </c>
      <c r="AP4" s="2" t="s">
        <v>115</v>
      </c>
      <c r="AQ4" s="1" t="s">
        <v>116</v>
      </c>
      <c r="AR4" s="1" t="s">
        <v>117</v>
      </c>
      <c r="AS4" s="1" t="s">
        <v>118</v>
      </c>
      <c r="AT4" s="1" t="s">
        <v>119</v>
      </c>
      <c r="AU4" s="2" t="s">
        <v>120</v>
      </c>
      <c r="AV4" s="2" t="s">
        <v>121</v>
      </c>
      <c r="AW4" s="1" t="s">
        <v>122</v>
      </c>
      <c r="AX4" s="1" t="s">
        <v>123</v>
      </c>
      <c r="AY4" s="1" t="s">
        <v>124</v>
      </c>
      <c r="AZ4" s="2" t="s">
        <v>125</v>
      </c>
      <c r="BA4" s="2" t="s">
        <v>126</v>
      </c>
      <c r="BB4" s="1" t="s">
        <v>127</v>
      </c>
      <c r="BC4" s="1" t="s">
        <v>128</v>
      </c>
      <c r="BE4" s="2" t="s">
        <v>129</v>
      </c>
      <c r="BF4" s="1" t="s">
        <v>130</v>
      </c>
      <c r="BG4" s="2" t="s">
        <v>131</v>
      </c>
      <c r="BH4" s="1" t="s">
        <v>132</v>
      </c>
      <c r="BJ4" s="2" t="s">
        <v>133</v>
      </c>
      <c r="BK4" s="2" t="s">
        <v>134</v>
      </c>
      <c r="BL4" s="1" t="s">
        <v>135</v>
      </c>
      <c r="BM4" s="1" t="s">
        <v>136</v>
      </c>
      <c r="BN4" s="1" t="s">
        <v>137</v>
      </c>
      <c r="BP4" s="2" t="s">
        <v>138</v>
      </c>
      <c r="BQ4" s="2" t="s">
        <v>139</v>
      </c>
      <c r="BR4" s="1" t="s">
        <v>140</v>
      </c>
      <c r="BS4" s="1" t="s">
        <v>141</v>
      </c>
      <c r="BT4" s="1" t="s">
        <v>142</v>
      </c>
      <c r="BZ4" s="54"/>
      <c r="CC4" s="57"/>
    </row>
    <row r="5" spans="1:84" x14ac:dyDescent="0.15">
      <c r="A5" s="46" t="s">
        <v>143</v>
      </c>
      <c r="B5" s="46" t="s">
        <v>17</v>
      </c>
      <c r="C5" s="3" t="s">
        <v>144</v>
      </c>
      <c r="D5" s="46">
        <v>238146391</v>
      </c>
      <c r="E5" s="3">
        <v>10</v>
      </c>
      <c r="F5" s="3">
        <v>32</v>
      </c>
      <c r="G5" s="3">
        <v>30</v>
      </c>
      <c r="I5" s="4">
        <f t="shared" ref="I5:I39" si="0">IF(OR(ISBLANK(S5),ISBLANK(G5)),"·",S5*G5/F5/1000000)</f>
        <v>2.1789900000000002</v>
      </c>
      <c r="J5" s="5">
        <f t="shared" ref="J5:J39" si="1">IF(ISBLANK(S5),"·",S5/D5)</f>
        <v>9.7597783877396652E-3</v>
      </c>
      <c r="K5" s="5">
        <f t="shared" ref="K5:K39" si="2">IF(N5="","·",N5/D5)</f>
        <v>6.1712629522905514E-3</v>
      </c>
      <c r="L5" s="5">
        <f t="shared" ref="L5:L39" si="3">IF(T5="","·",T5/D5)</f>
        <v>3.5270742356116581E-3</v>
      </c>
      <c r="M5" s="5">
        <f t="shared" ref="M5:M39" si="4">IF(ISBLANK(V5),"·",V5/D5)</f>
        <v>3.5885154354491143E-3</v>
      </c>
      <c r="N5" s="46">
        <f t="shared" ref="N5:N39" si="5">IF(OR(ISBLANK(T5),ISBLANK(U5)),"",T5+U5)</f>
        <v>1469664</v>
      </c>
      <c r="O5" s="5">
        <v>-12</v>
      </c>
      <c r="P5" s="6">
        <v>21771728</v>
      </c>
      <c r="Q5" s="6">
        <v>680366.5</v>
      </c>
      <c r="R5" s="6">
        <v>13458.65625</v>
      </c>
      <c r="S5" s="7">
        <v>2324256</v>
      </c>
      <c r="T5" s="7">
        <v>839960</v>
      </c>
      <c r="U5" s="7">
        <v>629704</v>
      </c>
      <c r="V5" s="7">
        <v>854592</v>
      </c>
      <c r="W5" s="8">
        <v>66.355962500000004</v>
      </c>
      <c r="X5" s="8">
        <v>68.483328125</v>
      </c>
      <c r="Y5" s="8">
        <v>32.113043750000003</v>
      </c>
      <c r="Z5" s="8">
        <v>44.188546875</v>
      </c>
      <c r="AA5" s="8">
        <v>43.811181249999898</v>
      </c>
      <c r="AB5" s="9">
        <v>431.88900000000001</v>
      </c>
      <c r="AC5" s="9">
        <v>404.07100000000003</v>
      </c>
      <c r="AD5" s="9">
        <v>1435.05</v>
      </c>
      <c r="AE5" s="9">
        <v>9.9529999999999994</v>
      </c>
      <c r="AG5" s="4">
        <f t="shared" ref="AG5:AG39" si="6">IF(OR(ISBLANK(AQ5),ISBLANK(G5)),"·",AQ5*G5/F5/1000000)</f>
        <v>2.1812024999999999</v>
      </c>
      <c r="AH5" s="5">
        <f t="shared" ref="AH5:AH39" si="7">IF(ISBLANK(AQ5),"·",AQ5/D5)</f>
        <v>9.7696882586811914E-3</v>
      </c>
      <c r="AI5" s="5">
        <f t="shared" ref="AI5:AI39" si="8">IF(AL5="","·",AL5/D5)</f>
        <v>6.1822141995005082E-3</v>
      </c>
      <c r="AJ5" s="5">
        <f t="shared" ref="AJ5:AJ39" si="9">IF(AR5="","·",AR5/D5)</f>
        <v>3.5380254828216145E-3</v>
      </c>
      <c r="AK5" s="5">
        <f t="shared" ref="AK5:AK39" si="10">IF(ISBLANK(AT5),"·",AT5/D5)</f>
        <v>3.5874740591806827E-3</v>
      </c>
      <c r="AL5" s="46">
        <f t="shared" ref="AL5:AL39" si="11">IF(OR(ISBLANK(AR5),ISBLANK(AS5)),"",AR5+AS5)</f>
        <v>1472272</v>
      </c>
      <c r="AM5" s="5">
        <v>-12</v>
      </c>
      <c r="AN5" s="6"/>
      <c r="AO5" s="6"/>
      <c r="AP5" s="6"/>
      <c r="AQ5" s="7">
        <v>2326616</v>
      </c>
      <c r="AR5" s="7">
        <v>842568</v>
      </c>
      <c r="AS5" s="7">
        <v>629704</v>
      </c>
      <c r="AT5" s="7">
        <v>854344</v>
      </c>
      <c r="AU5" s="8">
        <v>66.360249999999994</v>
      </c>
      <c r="AV5" s="8">
        <v>68.475915624999999</v>
      </c>
      <c r="AW5" s="8">
        <v>32.107334375000001</v>
      </c>
      <c r="AX5" s="8">
        <v>44.161753124999997</v>
      </c>
      <c r="AY5" s="8">
        <v>43.8255781249999</v>
      </c>
      <c r="AZ5" s="9">
        <v>318.55</v>
      </c>
      <c r="BA5" s="9">
        <v>303.62799999999999</v>
      </c>
      <c r="BB5" s="9">
        <v>1219.22</v>
      </c>
      <c r="BC5" s="9">
        <v>9.7650000000000006</v>
      </c>
      <c r="BE5" s="44">
        <f t="shared" ref="BE5:BE43" si="12">AI5/K5</f>
        <v>1.0017745552724977</v>
      </c>
      <c r="BF5" s="10" t="e">
        <f t="shared" ref="BF5:BF39" si="13">(AP5/AO5) - (R5/Q5)</f>
        <v>#DIV/0!</v>
      </c>
      <c r="BG5" s="10">
        <f t="shared" ref="BG5:BG39" si="14">(AL5/AQ5) - (N5/S5)</f>
        <v>4.7955249205144934E-4</v>
      </c>
      <c r="BH5" s="10">
        <f t="array" ref="BH5">AVERAGE(AL5:AL9/AQ5:AQ9) - AVERAGE(N5:N9/S5:S9)</f>
        <v>2.0083097459727695E-4</v>
      </c>
      <c r="BJ5" s="44">
        <f>IF( OR(ISBLANK(N5:N9),ISBLANK(AL5:AL9), ISBLANK(W5:W9),ISBLANK(AU5:AU9)), "·", bdRateExtend( N5:N9,W5:W9, AL5:AL9,AU5:AU9))</f>
        <v>1.9342186468440659E-4</v>
      </c>
      <c r="BK5" s="44">
        <f>IF( OR(ISBLANK(N5:N9),ISBLANK(AL5:AL9), ISBLANK(X5:X9),ISBLANK(AV5:AV9)), "·", bdRateExtend( N5:N9,X5:X9, AL5:AL9,AV5:AV9))</f>
        <v>6.4690932526723088E-4</v>
      </c>
      <c r="BL5" s="44">
        <f>IF( OR(ISBLANK(V5:V9),ISBLANK(AT5:AT9), ISBLANK(Y5:Y9),ISBLANK(AW5:AW9)), "·", bdRateExtend( V5:V9,Y5:Y9, AT5:AT9,AW5:AW9))</f>
        <v>9.684897950539284E-4</v>
      </c>
      <c r="BM5" s="44">
        <f>IF( OR(ISBLANK(V5:V9),ISBLANK(AT5:AT9), ISBLANK(Z5:Z9),ISBLANK(AX5:AX9)), "·", bdRateExtend( V5:V9,Z5:Z9, AT5:AT9,AX5:AX9))</f>
        <v>-1.0968521006934351E-3</v>
      </c>
      <c r="BN5" s="44">
        <f>IF( OR(ISBLANK(V5:V9),ISBLANK(AT5:AT9), ISBLANK(AA5:AA9),ISBLANK(AY5:AY9)), "·", bdRateExtend( V5:V9,AA5:AA9, AT5:AT9,AY5:AY9))</f>
        <v>-4.1397169831495217E-3</v>
      </c>
      <c r="BP5" s="44">
        <f>IF( OR(ISBLANK(S5:S9),ISBLANK(AQ5:AQ9), ISBLANK(W5:W9),ISBLANK(AU5:AU9)), "·", bdRateExtend( S5:S9,W5:W9, AQ5:AQ9,AU5:AU9))</f>
        <v>-7.4274428700316086E-4</v>
      </c>
      <c r="BQ5" s="44">
        <f>IF( OR(ISBLANK(S5:S9),ISBLANK(AQ5:AQ9), ISBLANK(X5:X9),ISBLANK(AV5:AV9)), "·", bdRateExtend( S5:S9,X5:X9, AQ5:AQ9,AV5:AV9))</f>
        <v>3.5416443298652567E-4</v>
      </c>
      <c r="BR5" s="44">
        <f>IF( OR(ISBLANK(S5:S9),ISBLANK(AQ5:AQ9), ISBLANK(Y5:Y9),ISBLANK(AW5:AW9)), "·", bdRateExtend( S5:S9,Y5:Y9, AQ5:AQ9,AW5:AW9))</f>
        <v>9.9860145851948801E-4</v>
      </c>
      <c r="BS5" s="44">
        <f>IF( OR(ISBLANK(S5:S9),ISBLANK(AQ5:AQ9), ISBLANK(Z5:Z9),ISBLANK(AX5:AX9)), "·", bdRateExtend( S5:S9,Z5:Z9, AQ5:AQ9,AX5:AX9))</f>
        <v>-5.3265770417953995E-4</v>
      </c>
      <c r="BT5" s="44">
        <f>IF( OR(ISBLANK(S5:S9),ISBLANK(AQ5:AQ9), ISBLANK(AA5:AA9),ISBLANK(AY5:AY9)), "·", bdRateExtend( S5:S9,AA5:AA9, AQ5:AQ9,AY5:AY9))</f>
        <v>-3.4363746118047933E-3</v>
      </c>
      <c r="BV5" s="51">
        <f t="shared" ref="BV5:BX39" si="15">(AB5-AZ5)/AB5</f>
        <v>0.26242622525695258</v>
      </c>
      <c r="BW5" s="51">
        <f t="shared" si="15"/>
        <v>0.24857760146112945</v>
      </c>
      <c r="BX5" s="51">
        <f t="shared" si="15"/>
        <v>0.15039894080345628</v>
      </c>
      <c r="BY5" s="51">
        <f>AVERAGE(BV5:BW5)</f>
        <v>0.25550191335904104</v>
      </c>
      <c r="BZ5" s="55"/>
      <c r="CA5" s="51"/>
      <c r="CC5" s="57"/>
    </row>
    <row r="6" spans="1:84" outlineLevel="1" x14ac:dyDescent="0.15">
      <c r="A6" s="11"/>
      <c r="B6" s="11" t="s">
        <v>17</v>
      </c>
      <c r="C6" s="12" t="s">
        <v>145</v>
      </c>
      <c r="D6" s="11">
        <v>238146391</v>
      </c>
      <c r="E6" s="12">
        <v>10</v>
      </c>
      <c r="F6" s="12">
        <v>32</v>
      </c>
      <c r="G6" s="12">
        <v>30</v>
      </c>
      <c r="I6" s="13">
        <f t="shared" si="0"/>
        <v>3.388665</v>
      </c>
      <c r="J6" s="14">
        <f t="shared" si="1"/>
        <v>1.5177958334040006E-2</v>
      </c>
      <c r="K6" s="14">
        <f t="shared" si="2"/>
        <v>7.5204498900006429E-3</v>
      </c>
      <c r="L6" s="14">
        <f t="shared" si="3"/>
        <v>4.8762611733217491E-3</v>
      </c>
      <c r="M6" s="14">
        <f t="shared" si="4"/>
        <v>7.6575084440393638E-3</v>
      </c>
      <c r="N6" s="11">
        <f t="shared" si="5"/>
        <v>1790968</v>
      </c>
      <c r="O6" s="14">
        <v>-12</v>
      </c>
      <c r="P6" s="15">
        <v>24147688</v>
      </c>
      <c r="Q6" s="15">
        <v>754615.25</v>
      </c>
      <c r="R6" s="15">
        <v>19012.03125</v>
      </c>
      <c r="S6" s="16">
        <v>3614576</v>
      </c>
      <c r="T6" s="16">
        <v>1161264</v>
      </c>
      <c r="U6" s="16">
        <v>629704</v>
      </c>
      <c r="V6" s="16">
        <v>1823608</v>
      </c>
      <c r="W6" s="17">
        <v>68.241949999999903</v>
      </c>
      <c r="X6" s="17">
        <v>70.429959374999996</v>
      </c>
      <c r="Y6" s="17">
        <v>34.357659374999997</v>
      </c>
      <c r="Z6" s="17">
        <v>45.4717531249999</v>
      </c>
      <c r="AA6" s="17">
        <v>45.224109374999998</v>
      </c>
      <c r="AB6" s="18">
        <v>463.45600000000002</v>
      </c>
      <c r="AC6" s="18">
        <v>410.53100000000001</v>
      </c>
      <c r="AD6" s="18">
        <v>1478.13</v>
      </c>
      <c r="AE6" s="18">
        <v>9.859</v>
      </c>
      <c r="AG6" s="13">
        <f t="shared" si="6"/>
        <v>3.3928050000000001</v>
      </c>
      <c r="AH6" s="14">
        <f t="shared" si="7"/>
        <v>1.5196501550174657E-2</v>
      </c>
      <c r="AI6" s="14">
        <f t="shared" si="8"/>
        <v>7.5291840135423256E-3</v>
      </c>
      <c r="AJ6" s="14">
        <f t="shared" si="9"/>
        <v>4.8849952968634319E-3</v>
      </c>
      <c r="AK6" s="14">
        <f t="shared" si="10"/>
        <v>7.6673175366323313E-3</v>
      </c>
      <c r="AL6" s="11">
        <f t="shared" si="11"/>
        <v>1793048</v>
      </c>
      <c r="AM6" s="14">
        <v>-12</v>
      </c>
      <c r="AN6" s="15"/>
      <c r="AO6" s="15"/>
      <c r="AP6" s="15"/>
      <c r="AQ6" s="16">
        <v>3618992</v>
      </c>
      <c r="AR6" s="16">
        <v>1163344</v>
      </c>
      <c r="AS6" s="16">
        <v>629704</v>
      </c>
      <c r="AT6" s="16">
        <v>1825944</v>
      </c>
      <c r="AU6" s="17">
        <v>68.239565624999997</v>
      </c>
      <c r="AV6" s="17">
        <v>70.422615625000006</v>
      </c>
      <c r="AW6" s="17">
        <v>34.354546874999997</v>
      </c>
      <c r="AX6" s="17">
        <v>45.48816875</v>
      </c>
      <c r="AY6" s="17">
        <v>45.211671875</v>
      </c>
      <c r="AZ6" s="18">
        <v>357.209</v>
      </c>
      <c r="BA6" s="18">
        <v>312.28899999999999</v>
      </c>
      <c r="BB6" s="18">
        <v>1270.33</v>
      </c>
      <c r="BC6" s="18">
        <v>9.8119999999999994</v>
      </c>
      <c r="BE6" s="43">
        <f t="shared" si="12"/>
        <v>1.0011613831179562</v>
      </c>
      <c r="BF6" s="19" t="e">
        <f t="shared" si="13"/>
        <v>#DIV/0!</v>
      </c>
      <c r="BG6" s="19">
        <f t="shared" si="14"/>
        <v>-2.9859565496448415E-5</v>
      </c>
      <c r="BH6" s="19"/>
      <c r="BJ6" s="43"/>
      <c r="BK6" s="43"/>
      <c r="BL6" s="43"/>
      <c r="BM6" s="43"/>
      <c r="BN6" s="43"/>
      <c r="BP6" s="43"/>
      <c r="BQ6" s="43"/>
      <c r="BR6" s="43"/>
      <c r="BS6" s="43"/>
      <c r="BT6" s="43"/>
      <c r="BV6" s="51">
        <f t="shared" si="15"/>
        <v>0.22924937858178557</v>
      </c>
      <c r="BW6" s="51">
        <f t="shared" si="15"/>
        <v>0.2393047053693875</v>
      </c>
      <c r="BX6" s="51">
        <f t="shared" si="15"/>
        <v>0.14058303396859556</v>
      </c>
      <c r="BY6" s="51">
        <f t="shared" ref="BY6:BY39" si="16">AVERAGE(BV6:BW6)</f>
        <v>0.23427704197558652</v>
      </c>
      <c r="BZ6" s="55"/>
      <c r="CA6" s="51"/>
      <c r="CC6" s="57"/>
    </row>
    <row r="7" spans="1:84" outlineLevel="1" x14ac:dyDescent="0.15">
      <c r="A7" s="46"/>
      <c r="B7" s="46" t="s">
        <v>17</v>
      </c>
      <c r="C7" s="3" t="s">
        <v>146</v>
      </c>
      <c r="D7" s="46">
        <v>238146391</v>
      </c>
      <c r="E7" s="3">
        <v>10</v>
      </c>
      <c r="F7" s="3">
        <v>32</v>
      </c>
      <c r="G7" s="3">
        <v>30</v>
      </c>
      <c r="I7" s="4">
        <f t="shared" si="0"/>
        <v>5.5621875000000003</v>
      </c>
      <c r="J7" s="5">
        <f t="shared" si="1"/>
        <v>2.4913247583080108E-2</v>
      </c>
      <c r="K7" s="5">
        <f t="shared" si="2"/>
        <v>9.4649681254250044E-3</v>
      </c>
      <c r="L7" s="5">
        <f t="shared" si="3"/>
        <v>6.8207794087461106E-3</v>
      </c>
      <c r="M7" s="5">
        <f t="shared" si="4"/>
        <v>1.5448279457655102E-2</v>
      </c>
      <c r="N7" s="46">
        <f t="shared" si="5"/>
        <v>2254048</v>
      </c>
      <c r="O7" s="5">
        <v>-12</v>
      </c>
      <c r="P7" s="6">
        <v>24798303</v>
      </c>
      <c r="Q7" s="6">
        <v>774946.96875</v>
      </c>
      <c r="R7" s="6">
        <v>20946</v>
      </c>
      <c r="S7" s="7">
        <v>5933000</v>
      </c>
      <c r="T7" s="7">
        <v>1624344</v>
      </c>
      <c r="U7" s="7">
        <v>629704</v>
      </c>
      <c r="V7" s="7">
        <v>3678952</v>
      </c>
      <c r="W7" s="8">
        <v>69.679040624999999</v>
      </c>
      <c r="X7" s="8">
        <v>72.1286249999999</v>
      </c>
      <c r="Y7" s="8">
        <v>36.89405</v>
      </c>
      <c r="Z7" s="8">
        <v>46.603406249999999</v>
      </c>
      <c r="AA7" s="8">
        <v>46.480725</v>
      </c>
      <c r="AB7" s="9">
        <v>494.35500000000002</v>
      </c>
      <c r="AC7" s="9">
        <v>423.44600000000003</v>
      </c>
      <c r="AD7" s="9">
        <v>1530.16</v>
      </c>
      <c r="AE7" s="9">
        <v>9.7650000000000006</v>
      </c>
      <c r="AG7" s="4">
        <f t="shared" si="6"/>
        <v>5.5586849999999997</v>
      </c>
      <c r="AH7" s="5">
        <f t="shared" si="7"/>
        <v>2.4897559753487928E-2</v>
      </c>
      <c r="AI7" s="5">
        <f t="shared" si="8"/>
        <v>9.4616088471397419E-3</v>
      </c>
      <c r="AJ7" s="5">
        <f t="shared" si="9"/>
        <v>6.8174201304608472E-3</v>
      </c>
      <c r="AK7" s="5">
        <f t="shared" si="10"/>
        <v>1.5435950906348188E-2</v>
      </c>
      <c r="AL7" s="46">
        <f t="shared" si="11"/>
        <v>2253248</v>
      </c>
      <c r="AM7" s="5">
        <v>-12</v>
      </c>
      <c r="AN7" s="6"/>
      <c r="AO7" s="6"/>
      <c r="AP7" s="6"/>
      <c r="AQ7" s="7">
        <v>5929264</v>
      </c>
      <c r="AR7" s="7">
        <v>1623544</v>
      </c>
      <c r="AS7" s="7">
        <v>629704</v>
      </c>
      <c r="AT7" s="7">
        <v>3676016</v>
      </c>
      <c r="AU7" s="8">
        <v>69.687784374999893</v>
      </c>
      <c r="AV7" s="8">
        <v>72.125184374999904</v>
      </c>
      <c r="AW7" s="8">
        <v>36.887209374999998</v>
      </c>
      <c r="AX7" s="8">
        <v>46.605424999999897</v>
      </c>
      <c r="AY7" s="8">
        <v>46.488165625000001</v>
      </c>
      <c r="AZ7" s="9">
        <v>389.01100000000002</v>
      </c>
      <c r="BA7" s="9">
        <v>333.09500000000003</v>
      </c>
      <c r="BB7" s="9">
        <v>1325.33</v>
      </c>
      <c r="BC7" s="9">
        <v>9.843</v>
      </c>
      <c r="BE7" s="44">
        <f t="shared" si="12"/>
        <v>0.99964508297959942</v>
      </c>
      <c r="BF7" s="10" t="e">
        <f t="shared" si="13"/>
        <v>#DIV/0!</v>
      </c>
      <c r="BG7" s="10">
        <f t="shared" si="14"/>
        <v>1.044598770501004E-4</v>
      </c>
      <c r="BH7" s="10"/>
      <c r="BJ7" s="44"/>
      <c r="BK7" s="44"/>
      <c r="BL7" s="44"/>
      <c r="BM7" s="44"/>
      <c r="BN7" s="44"/>
      <c r="BP7" s="44"/>
      <c r="BQ7" s="44"/>
      <c r="BR7" s="44"/>
      <c r="BS7" s="44"/>
      <c r="BT7" s="44"/>
      <c r="BV7" s="51">
        <f t="shared" si="15"/>
        <v>0.21309382933317148</v>
      </c>
      <c r="BW7" s="51">
        <f t="shared" si="15"/>
        <v>0.21337077218818926</v>
      </c>
      <c r="BX7" s="51">
        <f t="shared" si="15"/>
        <v>0.13386181837193506</v>
      </c>
      <c r="BY7" s="51">
        <f t="shared" si="16"/>
        <v>0.21323230076068037</v>
      </c>
      <c r="BZ7" s="55"/>
      <c r="CA7" s="51"/>
      <c r="CC7" s="57"/>
    </row>
    <row r="8" spans="1:84" outlineLevel="1" x14ac:dyDescent="0.15">
      <c r="A8" s="11"/>
      <c r="B8" s="11" t="s">
        <v>17</v>
      </c>
      <c r="C8" s="12" t="s">
        <v>147</v>
      </c>
      <c r="D8" s="11">
        <v>238146391</v>
      </c>
      <c r="E8" s="12">
        <v>10</v>
      </c>
      <c r="F8" s="12">
        <v>32</v>
      </c>
      <c r="G8" s="12">
        <v>30</v>
      </c>
      <c r="I8" s="13">
        <f t="shared" si="0"/>
        <v>9.4267649999999996</v>
      </c>
      <c r="J8" s="14">
        <f t="shared" si="1"/>
        <v>4.2222835953033611E-2</v>
      </c>
      <c r="K8" s="14">
        <f t="shared" si="2"/>
        <v>1.2729682726957639E-2</v>
      </c>
      <c r="L8" s="14">
        <f t="shared" si="3"/>
        <v>1.0085494010278745E-2</v>
      </c>
      <c r="M8" s="14">
        <f t="shared" si="4"/>
        <v>2.9493153226075972E-2</v>
      </c>
      <c r="N8" s="11">
        <f t="shared" si="5"/>
        <v>3031528</v>
      </c>
      <c r="O8" s="14">
        <v>-12</v>
      </c>
      <c r="P8" s="15">
        <v>25806958</v>
      </c>
      <c r="Q8" s="15">
        <v>806467.4375</v>
      </c>
      <c r="R8" s="15">
        <v>24305.84375</v>
      </c>
      <c r="S8" s="16">
        <v>10055216</v>
      </c>
      <c r="T8" s="16">
        <v>2401824</v>
      </c>
      <c r="U8" s="16">
        <v>629704</v>
      </c>
      <c r="V8" s="16">
        <v>7023688</v>
      </c>
      <c r="W8" s="17">
        <v>70.829490625000005</v>
      </c>
      <c r="X8" s="17">
        <v>73.399412499999997</v>
      </c>
      <c r="Y8" s="17">
        <v>39.521596875</v>
      </c>
      <c r="Z8" s="17">
        <v>47.923753124999998</v>
      </c>
      <c r="AA8" s="17">
        <v>47.9429374999999</v>
      </c>
      <c r="AB8" s="18">
        <v>535.47900000000004</v>
      </c>
      <c r="AC8" s="18">
        <v>446.67</v>
      </c>
      <c r="AD8" s="18">
        <v>1586.61</v>
      </c>
      <c r="AE8" s="18">
        <v>9.875</v>
      </c>
      <c r="AG8" s="13">
        <f t="shared" si="6"/>
        <v>9.4297649999999997</v>
      </c>
      <c r="AH8" s="14">
        <f t="shared" si="7"/>
        <v>4.2236273066174661E-2</v>
      </c>
      <c r="AI8" s="14">
        <f t="shared" si="8"/>
        <v>1.2749636839972099E-2</v>
      </c>
      <c r="AJ8" s="14">
        <f t="shared" si="9"/>
        <v>1.0105448123293205E-2</v>
      </c>
      <c r="AK8" s="14">
        <f t="shared" si="10"/>
        <v>2.9486636226202564E-2</v>
      </c>
      <c r="AL8" s="11">
        <f t="shared" si="11"/>
        <v>3036280</v>
      </c>
      <c r="AM8" s="14">
        <v>-12</v>
      </c>
      <c r="AN8" s="15"/>
      <c r="AO8" s="15"/>
      <c r="AP8" s="15"/>
      <c r="AQ8" s="16">
        <v>10058416</v>
      </c>
      <c r="AR8" s="16">
        <v>2406576</v>
      </c>
      <c r="AS8" s="16">
        <v>629704</v>
      </c>
      <c r="AT8" s="16">
        <v>7022136</v>
      </c>
      <c r="AU8" s="17">
        <v>70.835593750000001</v>
      </c>
      <c r="AV8" s="17">
        <v>73.408537499999994</v>
      </c>
      <c r="AW8" s="17">
        <v>39.521587500000003</v>
      </c>
      <c r="AX8" s="17">
        <v>47.9171781249999</v>
      </c>
      <c r="AY8" s="17">
        <v>47.975893749999997</v>
      </c>
      <c r="AZ8" s="18">
        <v>443.01100000000002</v>
      </c>
      <c r="BA8" s="18">
        <v>366.59399999999999</v>
      </c>
      <c r="BB8" s="18">
        <v>1415.86</v>
      </c>
      <c r="BC8" s="18">
        <v>9.7650000000000006</v>
      </c>
      <c r="BE8" s="43">
        <f t="shared" si="12"/>
        <v>1.0015675263431509</v>
      </c>
      <c r="BF8" s="19" t="e">
        <f t="shared" si="13"/>
        <v>#DIV/0!</v>
      </c>
      <c r="BG8" s="19">
        <f t="shared" si="14"/>
        <v>3.7652430258161562E-4</v>
      </c>
      <c r="BH8" s="19"/>
      <c r="BJ8" s="43"/>
      <c r="BK8" s="43"/>
      <c r="BL8" s="43"/>
      <c r="BM8" s="43"/>
      <c r="BN8" s="43"/>
      <c r="BP8" s="43"/>
      <c r="BQ8" s="43"/>
      <c r="BR8" s="43"/>
      <c r="BS8" s="43"/>
      <c r="BT8" s="43"/>
      <c r="BV8" s="51">
        <f t="shared" si="15"/>
        <v>0.17268277560838055</v>
      </c>
      <c r="BW8" s="51">
        <f t="shared" si="15"/>
        <v>0.17927328900530598</v>
      </c>
      <c r="BX8" s="51">
        <f t="shared" si="15"/>
        <v>0.10761938976812198</v>
      </c>
      <c r="BY8" s="51">
        <f t="shared" si="16"/>
        <v>0.17597803230684328</v>
      </c>
      <c r="BZ8" s="55"/>
      <c r="CA8" s="51"/>
      <c r="CC8" s="57"/>
    </row>
    <row r="9" spans="1:84" ht="14.25" outlineLevel="1" thickBot="1" x14ac:dyDescent="0.2">
      <c r="A9" s="46"/>
      <c r="B9" s="20" t="s">
        <v>17</v>
      </c>
      <c r="C9" s="21" t="s">
        <v>148</v>
      </c>
      <c r="D9" s="20">
        <v>238146391</v>
      </c>
      <c r="E9" s="21">
        <v>10</v>
      </c>
      <c r="F9" s="21">
        <v>32</v>
      </c>
      <c r="G9" s="21">
        <v>30</v>
      </c>
      <c r="I9" s="22">
        <f t="shared" si="0"/>
        <v>16.8055275</v>
      </c>
      <c r="J9" s="23">
        <f t="shared" si="1"/>
        <v>7.5272591470848707E-2</v>
      </c>
      <c r="K9" s="23">
        <f t="shared" si="2"/>
        <v>2.0658352114183414E-2</v>
      </c>
      <c r="L9" s="23">
        <f t="shared" si="3"/>
        <v>1.5548050022727408E-2</v>
      </c>
      <c r="M9" s="23">
        <f t="shared" si="4"/>
        <v>5.461423935666529E-2</v>
      </c>
      <c r="N9" s="20">
        <f t="shared" si="5"/>
        <v>4919712</v>
      </c>
      <c r="O9" s="23">
        <v>-12</v>
      </c>
      <c r="P9" s="24">
        <v>24863702</v>
      </c>
      <c r="Q9" s="24">
        <v>776990.6875</v>
      </c>
      <c r="R9" s="24">
        <v>10657.0625</v>
      </c>
      <c r="S9" s="25">
        <v>17925896</v>
      </c>
      <c r="T9" s="25">
        <v>3702712</v>
      </c>
      <c r="U9" s="25">
        <v>1217000</v>
      </c>
      <c r="V9" s="25">
        <v>13006184</v>
      </c>
      <c r="W9" s="26">
        <v>71.945081250000001</v>
      </c>
      <c r="X9" s="26">
        <v>75.324081250000006</v>
      </c>
      <c r="Y9" s="26">
        <v>42.094303124999897</v>
      </c>
      <c r="Z9" s="26">
        <v>49.4176312499999</v>
      </c>
      <c r="AA9" s="26">
        <v>49.554403125</v>
      </c>
      <c r="AB9" s="27">
        <v>570.01099999999997</v>
      </c>
      <c r="AC9" s="27">
        <v>493.15699999999998</v>
      </c>
      <c r="AD9" s="27">
        <v>1681.13</v>
      </c>
      <c r="AE9" s="27">
        <v>9.859</v>
      </c>
      <c r="AG9" s="22">
        <f t="shared" si="6"/>
        <v>16.807395</v>
      </c>
      <c r="AH9" s="23">
        <f t="shared" si="7"/>
        <v>7.5280956073779007E-2</v>
      </c>
      <c r="AI9" s="23">
        <f t="shared" si="8"/>
        <v>2.0666179232588077E-2</v>
      </c>
      <c r="AJ9" s="23">
        <f t="shared" si="9"/>
        <v>1.5555877141132069E-2</v>
      </c>
      <c r="AK9" s="23">
        <f t="shared" si="10"/>
        <v>5.4614776841190926E-2</v>
      </c>
      <c r="AL9" s="20">
        <f t="shared" si="11"/>
        <v>4921576</v>
      </c>
      <c r="AM9" s="23">
        <v>-12</v>
      </c>
      <c r="AN9" s="24"/>
      <c r="AO9" s="24"/>
      <c r="AP9" s="24"/>
      <c r="AQ9" s="25">
        <v>17927888</v>
      </c>
      <c r="AR9" s="25">
        <v>3704576</v>
      </c>
      <c r="AS9" s="25">
        <v>1217000</v>
      </c>
      <c r="AT9" s="25">
        <v>13006312</v>
      </c>
      <c r="AU9" s="26">
        <v>71.945796874999999</v>
      </c>
      <c r="AV9" s="26">
        <v>75.329237500000005</v>
      </c>
      <c r="AW9" s="26">
        <v>42.092593749999999</v>
      </c>
      <c r="AX9" s="26">
        <v>49.431234375000003</v>
      </c>
      <c r="AY9" s="26">
        <v>49.563106249999898</v>
      </c>
      <c r="AZ9" s="27">
        <v>516.745</v>
      </c>
      <c r="BA9" s="27">
        <v>422.911</v>
      </c>
      <c r="BB9" s="27">
        <v>1560.88</v>
      </c>
      <c r="BC9" s="27">
        <v>9.734</v>
      </c>
      <c r="BE9" s="28">
        <f t="shared" si="12"/>
        <v>1.0003788839671917</v>
      </c>
      <c r="BF9" s="29" t="e">
        <f t="shared" si="13"/>
        <v>#DIV/0!</v>
      </c>
      <c r="BG9" s="29">
        <f t="shared" si="14"/>
        <v>7.3477766799778799E-5</v>
      </c>
      <c r="BH9" s="29"/>
      <c r="BJ9" s="28"/>
      <c r="BK9" s="28"/>
      <c r="BL9" s="28"/>
      <c r="BM9" s="28"/>
      <c r="BN9" s="28"/>
      <c r="BP9" s="28"/>
      <c r="BQ9" s="28"/>
      <c r="BR9" s="28"/>
      <c r="BS9" s="28"/>
      <c r="BT9" s="28"/>
      <c r="BV9" s="51">
        <f t="shared" si="15"/>
        <v>9.3447319437695006E-2</v>
      </c>
      <c r="BW9" s="51">
        <f t="shared" si="15"/>
        <v>0.1424414537358285</v>
      </c>
      <c r="BX9" s="51">
        <f t="shared" si="15"/>
        <v>7.1529269003586873E-2</v>
      </c>
      <c r="BY9" s="51">
        <f t="shared" si="16"/>
        <v>0.11794438658676176</v>
      </c>
      <c r="BZ9" s="55">
        <f>AVERAGE(BV5:BV9)</f>
        <v>0.19417990564359705</v>
      </c>
      <c r="CA9" s="51">
        <f>AVERAGE(BW5:BW9)</f>
        <v>0.20459356435196813</v>
      </c>
      <c r="CB9" s="51">
        <f>AVERAGE(BX5:BX9)</f>
        <v>0.12079849038313917</v>
      </c>
      <c r="CC9" s="58">
        <f>AVERAGE(BY5:BY9)</f>
        <v>0.19938673499778259</v>
      </c>
      <c r="CD9" s="51">
        <f>(SUM(AB5:AB9)-SUM(AZ5:AZ9))/SUM(AB5:AB9)</f>
        <v>0.18862852127493304</v>
      </c>
      <c r="CE9" s="51">
        <f>(SUM(AC5:AC9)-SUM(BA5:BA9))/SUM(AC5:AC9)</f>
        <v>0.20173701429145396</v>
      </c>
      <c r="CF9" s="51">
        <f>(SUM(AB5:AC9)-SUM(AZ5:BA9))/SUM(AB5:AC9)</f>
        <v>0.19473771496865538</v>
      </c>
    </row>
    <row r="10" spans="1:84" x14ac:dyDescent="0.15">
      <c r="A10" s="11"/>
      <c r="B10" s="11" t="s">
        <v>20</v>
      </c>
      <c r="C10" s="12" t="s">
        <v>144</v>
      </c>
      <c r="D10" s="11">
        <v>218121242</v>
      </c>
      <c r="E10" s="12">
        <v>10</v>
      </c>
      <c r="F10" s="12">
        <v>32</v>
      </c>
      <c r="G10" s="12">
        <v>30</v>
      </c>
      <c r="I10" s="13">
        <f t="shared" si="0"/>
        <v>3.1803675</v>
      </c>
      <c r="J10" s="14">
        <f t="shared" si="1"/>
        <v>1.555278142052758E-2</v>
      </c>
      <c r="K10" s="14">
        <f t="shared" si="2"/>
        <v>8.0389419385389349E-3</v>
      </c>
      <c r="L10" s="14">
        <f t="shared" si="3"/>
        <v>4.2751636266586089E-3</v>
      </c>
      <c r="M10" s="14">
        <f t="shared" si="4"/>
        <v>7.5138394819886456E-3</v>
      </c>
      <c r="N10" s="11">
        <f t="shared" si="5"/>
        <v>1753464</v>
      </c>
      <c r="O10" s="14">
        <v>-12</v>
      </c>
      <c r="P10" s="15">
        <v>20646708</v>
      </c>
      <c r="Q10" s="15">
        <v>645209.625</v>
      </c>
      <c r="R10" s="15">
        <v>18054.21875</v>
      </c>
      <c r="S10" s="16">
        <v>3392392</v>
      </c>
      <c r="T10" s="16">
        <v>932504</v>
      </c>
      <c r="U10" s="16">
        <v>820960</v>
      </c>
      <c r="V10" s="16">
        <v>1638928</v>
      </c>
      <c r="W10" s="17">
        <v>65.886574999999993</v>
      </c>
      <c r="X10" s="17">
        <v>67.829274999999996</v>
      </c>
      <c r="Y10" s="17">
        <v>32.394371874999898</v>
      </c>
      <c r="Z10" s="17">
        <v>39.164603124999999</v>
      </c>
      <c r="AA10" s="17">
        <v>32.094328124999997</v>
      </c>
      <c r="AB10" s="18">
        <v>466.02199999999999</v>
      </c>
      <c r="AC10" s="18">
        <v>427.16</v>
      </c>
      <c r="AD10" s="18">
        <v>1481.38</v>
      </c>
      <c r="AE10" s="18">
        <v>10.484</v>
      </c>
      <c r="AG10" s="13">
        <f t="shared" si="6"/>
        <v>3.1787100000000001</v>
      </c>
      <c r="AH10" s="14">
        <f t="shared" si="7"/>
        <v>1.5544675836753213E-2</v>
      </c>
      <c r="AI10" s="14">
        <f t="shared" si="8"/>
        <v>8.0361911748146019E-3</v>
      </c>
      <c r="AJ10" s="14">
        <f t="shared" si="9"/>
        <v>4.2724128629342759E-3</v>
      </c>
      <c r="AK10" s="14">
        <f t="shared" si="10"/>
        <v>7.5084846619386109E-3</v>
      </c>
      <c r="AL10" s="11">
        <f t="shared" si="11"/>
        <v>1752864</v>
      </c>
      <c r="AM10" s="14">
        <v>-12</v>
      </c>
      <c r="AN10" s="15"/>
      <c r="AO10" s="15"/>
      <c r="AP10" s="15"/>
      <c r="AQ10" s="16">
        <v>3390624</v>
      </c>
      <c r="AR10" s="16">
        <v>931904</v>
      </c>
      <c r="AS10" s="16">
        <v>820960</v>
      </c>
      <c r="AT10" s="16">
        <v>1637760</v>
      </c>
      <c r="AU10" s="17">
        <v>65.888965624999898</v>
      </c>
      <c r="AV10" s="17">
        <v>67.784528124999994</v>
      </c>
      <c r="AW10" s="17">
        <v>32.394590624999999</v>
      </c>
      <c r="AX10" s="17">
        <v>39.178328124999901</v>
      </c>
      <c r="AY10" s="17">
        <v>32.076243749999897</v>
      </c>
      <c r="AZ10" s="18">
        <v>340.92599999999999</v>
      </c>
      <c r="BA10" s="18">
        <v>316.42399999999998</v>
      </c>
      <c r="BB10" s="18">
        <v>1244.05</v>
      </c>
      <c r="BC10" s="18">
        <v>10.202999999999999</v>
      </c>
      <c r="BE10" s="43">
        <f t="shared" si="12"/>
        <v>0.9996578201776597</v>
      </c>
      <c r="BF10" s="19" t="e">
        <f t="shared" si="13"/>
        <v>#DIV/0!</v>
      </c>
      <c r="BG10" s="19">
        <f t="shared" si="14"/>
        <v>9.2562945681606834E-5</v>
      </c>
      <c r="BH10" s="19">
        <f t="array" ref="BH10">AVERAGE(AL10:AL14/AQ10:AQ14) - AVERAGE(N10:N14/S10:S14)</f>
        <v>3.1133045909259582E-4</v>
      </c>
      <c r="BJ10" s="43">
        <f>IF( OR(ISBLANK(N10:N14),ISBLANK(AL10:AL14), ISBLANK(W10:W14),ISBLANK(AU10:AU14)), "·", bdRateExtend( N10:N14,W10:W14, AL10:AL14,AU10:AU14))</f>
        <v>3.5221052887668414E-4</v>
      </c>
      <c r="BK10" s="43">
        <f>IF( OR(ISBLANK(N10:N14),ISBLANK(AL10:AL14), ISBLANK(X10:X14),ISBLANK(AV10:AV14)), "·", bdRateExtend( N10:N14,X10:X14, AL10:AL14,AV10:AV14))</f>
        <v>7.9657416938339054E-4</v>
      </c>
      <c r="BL10" s="43">
        <f>IF( OR(ISBLANK(V10:V14),ISBLANK(AT10:AT14), ISBLANK(Y10:Y14),ISBLANK(AW10:AW14)), "·", bdRateExtend( V10:V14,Y10:Y14, AT10:AT14,AW10:AW14))</f>
        <v>-1.3488362173689206E-3</v>
      </c>
      <c r="BM10" s="43">
        <f>IF( OR(ISBLANK(V10:V14),ISBLANK(AT10:AT14), ISBLANK(Z10:Z14),ISBLANK(AX10:AX14)), "·", bdRateExtend( V10:V14,Z10:Z14, AT10:AT14,AX10:AX14))</f>
        <v>-3.3640045647171934E-3</v>
      </c>
      <c r="BN10" s="43">
        <f>IF( OR(ISBLANK(V10:V14),ISBLANK(AT10:AT14), ISBLANK(AA10:AA14),ISBLANK(AY10:AY14)), "·", bdRateExtend( V10:V14,AA10:AA14, AT10:AT14,AY10:AY14))</f>
        <v>3.6966057688883058E-3</v>
      </c>
      <c r="BP10" s="43">
        <f>IF( OR(ISBLANK(S10:S14),ISBLANK(AQ10:AQ14), ISBLANK(W10:W14),ISBLANK(AU10:AU14)), "·", bdRateExtend( S10:S14,W10:W14, AQ10:AQ14,AU10:AU14))</f>
        <v>-5.1449283089555209E-4</v>
      </c>
      <c r="BQ10" s="43">
        <f>IF( OR(ISBLANK(S10:S14),ISBLANK(AQ10:AQ14), ISBLANK(X10:X14),ISBLANK(AV10:AV14)), "·", bdRateExtend( S10:S14,X10:X14, AQ10:AQ14,AV10:AV14))</f>
        <v>4.1595671788718924E-4</v>
      </c>
      <c r="BR10" s="43">
        <f>IF( OR(ISBLANK(S10:S14),ISBLANK(AQ10:AQ14), ISBLANK(Y10:Y14),ISBLANK(AW10:AW14)), "·", bdRateExtend( S10:S14,Y10:Y14, AQ10:AQ14,AW10:AW14))</f>
        <v>-8.3344624074666029E-4</v>
      </c>
      <c r="BS10" s="43">
        <f>IF( OR(ISBLANK(S10:S14),ISBLANK(AQ10:AQ14), ISBLANK(Z10:Z14),ISBLANK(AX10:AX14)), "·", bdRateExtend( S10:S14,Z10:Z14, AQ10:AQ14,AX10:AX14))</f>
        <v>-2.1167676508652145E-3</v>
      </c>
      <c r="BT10" s="43">
        <f>IF( OR(ISBLANK(S10:S14),ISBLANK(AQ10:AQ14), ISBLANK(AA10:AA14),ISBLANK(AY10:AY14)), "·", bdRateExtend( S10:S14,AA10:AA14, AQ10:AQ14,AY10:AY14))</f>
        <v>3.1280578411054805E-3</v>
      </c>
      <c r="BV10" s="51">
        <f t="shared" si="15"/>
        <v>0.26843367909669502</v>
      </c>
      <c r="BW10" s="51">
        <f t="shared" si="15"/>
        <v>0.25923775634422708</v>
      </c>
      <c r="BX10" s="51">
        <f t="shared" si="15"/>
        <v>0.16020872429761449</v>
      </c>
      <c r="BY10" s="51">
        <f t="shared" si="16"/>
        <v>0.26383571772046105</v>
      </c>
      <c r="BZ10" s="55"/>
      <c r="CA10" s="51"/>
      <c r="CC10" s="57"/>
    </row>
    <row r="11" spans="1:84" outlineLevel="1" x14ac:dyDescent="0.15">
      <c r="A11" s="46"/>
      <c r="B11" s="46" t="s">
        <v>20</v>
      </c>
      <c r="C11" s="3" t="s">
        <v>145</v>
      </c>
      <c r="D11" s="46">
        <v>218121242</v>
      </c>
      <c r="E11" s="3">
        <v>10</v>
      </c>
      <c r="F11" s="3">
        <v>32</v>
      </c>
      <c r="G11" s="3">
        <v>30</v>
      </c>
      <c r="I11" s="4">
        <f t="shared" si="0"/>
        <v>4.5974775000000001</v>
      </c>
      <c r="J11" s="5">
        <f t="shared" si="1"/>
        <v>2.2482798809663848E-2</v>
      </c>
      <c r="K11" s="5">
        <f t="shared" si="2"/>
        <v>9.7882442829662596E-3</v>
      </c>
      <c r="L11" s="5">
        <f t="shared" si="3"/>
        <v>6.0244659710859336E-3</v>
      </c>
      <c r="M11" s="5">
        <f t="shared" si="4"/>
        <v>1.2694554526697589E-2</v>
      </c>
      <c r="N11" s="46">
        <f t="shared" si="5"/>
        <v>2135024</v>
      </c>
      <c r="O11" s="5">
        <v>-12</v>
      </c>
      <c r="P11" s="6">
        <v>22133832</v>
      </c>
      <c r="Q11" s="6">
        <v>691682.25</v>
      </c>
      <c r="R11" s="6">
        <v>23047.09375</v>
      </c>
      <c r="S11" s="7">
        <v>4903976</v>
      </c>
      <c r="T11" s="7">
        <v>1314064</v>
      </c>
      <c r="U11" s="7">
        <v>820960</v>
      </c>
      <c r="V11" s="7">
        <v>2768952</v>
      </c>
      <c r="W11" s="8">
        <v>67.609459374999901</v>
      </c>
      <c r="X11" s="8">
        <v>69.693121874999903</v>
      </c>
      <c r="Y11" s="8">
        <v>34.251906249999998</v>
      </c>
      <c r="Z11" s="8">
        <v>40.012206249999899</v>
      </c>
      <c r="AA11" s="8">
        <v>33.863571874999998</v>
      </c>
      <c r="AB11" s="9">
        <v>490.67200000000003</v>
      </c>
      <c r="AC11" s="9">
        <v>439.33600000000001</v>
      </c>
      <c r="AD11" s="9">
        <v>1520.53</v>
      </c>
      <c r="AE11" s="9">
        <v>10.484</v>
      </c>
      <c r="AG11" s="4">
        <f t="shared" si="6"/>
        <v>4.5932025000000003</v>
      </c>
      <c r="AH11" s="5">
        <f t="shared" si="7"/>
        <v>2.2461893005358918E-2</v>
      </c>
      <c r="AI11" s="5">
        <f t="shared" si="8"/>
        <v>9.7961298056426799E-3</v>
      </c>
      <c r="AJ11" s="5">
        <f t="shared" si="9"/>
        <v>6.0323514937623548E-3</v>
      </c>
      <c r="AK11" s="5">
        <f t="shared" si="10"/>
        <v>1.2665763199716238E-2</v>
      </c>
      <c r="AL11" s="46">
        <f t="shared" si="11"/>
        <v>2136744</v>
      </c>
      <c r="AM11" s="5">
        <v>-12</v>
      </c>
      <c r="AN11" s="6"/>
      <c r="AO11" s="6"/>
      <c r="AP11" s="6"/>
      <c r="AQ11" s="7">
        <v>4899416</v>
      </c>
      <c r="AR11" s="7">
        <v>1315784</v>
      </c>
      <c r="AS11" s="7">
        <v>820960</v>
      </c>
      <c r="AT11" s="7">
        <v>2762672</v>
      </c>
      <c r="AU11" s="8">
        <v>67.607121875000004</v>
      </c>
      <c r="AV11" s="8">
        <v>69.690434374999995</v>
      </c>
      <c r="AW11" s="8">
        <v>34.244096874999997</v>
      </c>
      <c r="AX11" s="8">
        <v>40.028537499999999</v>
      </c>
      <c r="AY11" s="8">
        <v>33.833881249999997</v>
      </c>
      <c r="AZ11" s="9">
        <v>381.98899999999998</v>
      </c>
      <c r="BA11" s="9">
        <v>326.08999999999997</v>
      </c>
      <c r="BB11" s="9">
        <v>1298.3</v>
      </c>
      <c r="BC11" s="9">
        <v>10.436999999999999</v>
      </c>
      <c r="BE11" s="44">
        <f t="shared" si="12"/>
        <v>1.0008056115528443</v>
      </c>
      <c r="BF11" s="10" t="e">
        <f t="shared" si="13"/>
        <v>#DIV/0!</v>
      </c>
      <c r="BG11" s="10">
        <f t="shared" si="14"/>
        <v>7.5626739470746607E-4</v>
      </c>
      <c r="BH11" s="10"/>
      <c r="BJ11" s="44"/>
      <c r="BK11" s="44"/>
      <c r="BL11" s="44"/>
      <c r="BM11" s="44"/>
      <c r="BN11" s="44"/>
      <c r="BP11" s="44"/>
      <c r="BQ11" s="44"/>
      <c r="BR11" s="44"/>
      <c r="BS11" s="44"/>
      <c r="BT11" s="44"/>
      <c r="BV11" s="51">
        <f t="shared" si="15"/>
        <v>0.22149827175791575</v>
      </c>
      <c r="BW11" s="51">
        <f t="shared" si="15"/>
        <v>0.25776626545514147</v>
      </c>
      <c r="BX11" s="51">
        <f t="shared" si="15"/>
        <v>0.14615298612983632</v>
      </c>
      <c r="BY11" s="51">
        <f t="shared" si="16"/>
        <v>0.23963226860652861</v>
      </c>
      <c r="BZ11" s="55"/>
      <c r="CA11" s="51"/>
      <c r="CC11" s="57"/>
    </row>
    <row r="12" spans="1:84" outlineLevel="1" x14ac:dyDescent="0.15">
      <c r="A12" s="11"/>
      <c r="B12" s="11" t="s">
        <v>20</v>
      </c>
      <c r="C12" s="12" t="s">
        <v>146</v>
      </c>
      <c r="D12" s="11">
        <v>218121242</v>
      </c>
      <c r="E12" s="12">
        <v>10</v>
      </c>
      <c r="F12" s="12">
        <v>32</v>
      </c>
      <c r="G12" s="12">
        <v>30</v>
      </c>
      <c r="I12" s="13">
        <f t="shared" si="0"/>
        <v>7.1139150000000004</v>
      </c>
      <c r="J12" s="14">
        <f t="shared" si="1"/>
        <v>3.4788798791087025E-2</v>
      </c>
      <c r="K12" s="14">
        <f t="shared" si="2"/>
        <v>1.2487220295582215E-2</v>
      </c>
      <c r="L12" s="14">
        <f t="shared" si="3"/>
        <v>8.7234419837018892E-3</v>
      </c>
      <c r="M12" s="14">
        <f t="shared" si="4"/>
        <v>2.2301578495504806E-2</v>
      </c>
      <c r="N12" s="11">
        <f t="shared" si="5"/>
        <v>2723728</v>
      </c>
      <c r="O12" s="14">
        <v>-12</v>
      </c>
      <c r="P12" s="15">
        <v>22504730</v>
      </c>
      <c r="Q12" s="15">
        <v>703272.8125</v>
      </c>
      <c r="R12" s="15">
        <v>24737.1875</v>
      </c>
      <c r="S12" s="16">
        <v>7588176</v>
      </c>
      <c r="T12" s="16">
        <v>1902768</v>
      </c>
      <c r="U12" s="16">
        <v>820960</v>
      </c>
      <c r="V12" s="16">
        <v>4864448</v>
      </c>
      <c r="W12" s="17">
        <v>68.953246874999905</v>
      </c>
      <c r="X12" s="17">
        <v>71.331493749999893</v>
      </c>
      <c r="Y12" s="17">
        <v>36.335381249999998</v>
      </c>
      <c r="Z12" s="17">
        <v>40.939156249999897</v>
      </c>
      <c r="AA12" s="17">
        <v>35.640265624999898</v>
      </c>
      <c r="AB12" s="18">
        <v>517.66099999999994</v>
      </c>
      <c r="AC12" s="18">
        <v>451.67700000000002</v>
      </c>
      <c r="AD12" s="18">
        <v>1558.5</v>
      </c>
      <c r="AE12" s="18">
        <v>10.39</v>
      </c>
      <c r="AG12" s="13">
        <f t="shared" si="6"/>
        <v>7.1063774999999998</v>
      </c>
      <c r="AH12" s="14">
        <f t="shared" si="7"/>
        <v>3.4751938557180964E-2</v>
      </c>
      <c r="AI12" s="14">
        <f t="shared" si="8"/>
        <v>1.2493712097971642E-2</v>
      </c>
      <c r="AJ12" s="14">
        <f t="shared" si="9"/>
        <v>8.7299337860913158E-3</v>
      </c>
      <c r="AK12" s="14">
        <f t="shared" si="10"/>
        <v>2.2258226459209322E-2</v>
      </c>
      <c r="AL12" s="11">
        <f t="shared" si="11"/>
        <v>2725144</v>
      </c>
      <c r="AM12" s="14">
        <v>-12</v>
      </c>
      <c r="AN12" s="15"/>
      <c r="AO12" s="15"/>
      <c r="AP12" s="15"/>
      <c r="AQ12" s="16">
        <v>7580136</v>
      </c>
      <c r="AR12" s="16">
        <v>1904184</v>
      </c>
      <c r="AS12" s="16">
        <v>820960</v>
      </c>
      <c r="AT12" s="16">
        <v>4854992</v>
      </c>
      <c r="AU12" s="17">
        <v>68.950331249999905</v>
      </c>
      <c r="AV12" s="17">
        <v>71.326753124999996</v>
      </c>
      <c r="AW12" s="17">
        <v>36.337224999999897</v>
      </c>
      <c r="AX12" s="17">
        <v>40.935140625000003</v>
      </c>
      <c r="AY12" s="17">
        <v>35.617937499999996</v>
      </c>
      <c r="AZ12" s="18">
        <v>409.43</v>
      </c>
      <c r="BA12" s="18">
        <v>354.15800000000002</v>
      </c>
      <c r="BB12" s="18">
        <v>1363.69</v>
      </c>
      <c r="BC12" s="18">
        <v>10.515000000000001</v>
      </c>
      <c r="BE12" s="43">
        <f t="shared" si="12"/>
        <v>1.0005198756997764</v>
      </c>
      <c r="BF12" s="19" t="e">
        <f t="shared" si="13"/>
        <v>#DIV/0!</v>
      </c>
      <c r="BG12" s="19">
        <f t="shared" si="14"/>
        <v>5.6752377267549337E-4</v>
      </c>
      <c r="BH12" s="19"/>
      <c r="BJ12" s="43"/>
      <c r="BK12" s="43"/>
      <c r="BL12" s="43"/>
      <c r="BM12" s="43"/>
      <c r="BN12" s="43"/>
      <c r="BP12" s="43"/>
      <c r="BQ12" s="43"/>
      <c r="BR12" s="43"/>
      <c r="BS12" s="43"/>
      <c r="BT12" s="43"/>
      <c r="BV12" s="51">
        <f t="shared" si="15"/>
        <v>0.20907698281307641</v>
      </c>
      <c r="BW12" s="51">
        <f t="shared" si="15"/>
        <v>0.21590428558461025</v>
      </c>
      <c r="BX12" s="51">
        <f t="shared" si="15"/>
        <v>0.1249983958934873</v>
      </c>
      <c r="BY12" s="51">
        <f t="shared" si="16"/>
        <v>0.21249063419884334</v>
      </c>
      <c r="BZ12" s="55"/>
      <c r="CA12" s="51"/>
      <c r="CC12" s="57"/>
    </row>
    <row r="13" spans="1:84" outlineLevel="1" x14ac:dyDescent="0.15">
      <c r="A13" s="46"/>
      <c r="B13" s="46" t="s">
        <v>20</v>
      </c>
      <c r="C13" s="3" t="s">
        <v>147</v>
      </c>
      <c r="D13" s="46">
        <v>218121242</v>
      </c>
      <c r="E13" s="3">
        <v>10</v>
      </c>
      <c r="F13" s="3">
        <v>32</v>
      </c>
      <c r="G13" s="3">
        <v>30</v>
      </c>
      <c r="I13" s="4">
        <f t="shared" si="0"/>
        <v>12.0106275</v>
      </c>
      <c r="J13" s="5">
        <f t="shared" si="1"/>
        <v>5.8734930548396569E-2</v>
      </c>
      <c r="K13" s="5">
        <f t="shared" si="2"/>
        <v>1.7163445273248534E-2</v>
      </c>
      <c r="L13" s="5">
        <f t="shared" si="3"/>
        <v>1.339966696136821E-2</v>
      </c>
      <c r="M13" s="5">
        <f t="shared" si="4"/>
        <v>4.1571485275148028E-2</v>
      </c>
      <c r="N13" s="46">
        <f t="shared" si="5"/>
        <v>3743712</v>
      </c>
      <c r="O13" s="5">
        <v>-12</v>
      </c>
      <c r="P13" s="6">
        <v>23275134</v>
      </c>
      <c r="Q13" s="6">
        <v>727347.9375</v>
      </c>
      <c r="R13" s="6">
        <v>27993.34375</v>
      </c>
      <c r="S13" s="7">
        <v>12811336</v>
      </c>
      <c r="T13" s="7">
        <v>2922752</v>
      </c>
      <c r="U13" s="7">
        <v>820960</v>
      </c>
      <c r="V13" s="7">
        <v>9067624</v>
      </c>
      <c r="W13" s="8">
        <v>70.078087499999896</v>
      </c>
      <c r="X13" s="8">
        <v>72.601274999999902</v>
      </c>
      <c r="Y13" s="8">
        <v>38.662809375000002</v>
      </c>
      <c r="Z13" s="8">
        <v>42.1082156249999</v>
      </c>
      <c r="AA13" s="8">
        <v>37.696206249999904</v>
      </c>
      <c r="AB13" s="9">
        <v>557.47799999999995</v>
      </c>
      <c r="AC13" s="9">
        <v>480.03199999999998</v>
      </c>
      <c r="AD13" s="9">
        <v>1627</v>
      </c>
      <c r="AE13" s="9">
        <v>10.25</v>
      </c>
      <c r="AG13" s="4">
        <f t="shared" si="6"/>
        <v>11.995972500000001</v>
      </c>
      <c r="AH13" s="5">
        <f t="shared" si="7"/>
        <v>5.8663263984165284E-2</v>
      </c>
      <c r="AI13" s="5">
        <f t="shared" si="8"/>
        <v>1.7144263280877522E-2</v>
      </c>
      <c r="AJ13" s="5">
        <f t="shared" si="9"/>
        <v>1.3380484968997196E-2</v>
      </c>
      <c r="AK13" s="5">
        <f t="shared" si="10"/>
        <v>4.1519000703287762E-2</v>
      </c>
      <c r="AL13" s="46">
        <f t="shared" si="11"/>
        <v>3739528</v>
      </c>
      <c r="AM13" s="5">
        <v>-12</v>
      </c>
      <c r="AN13" s="6"/>
      <c r="AO13" s="6"/>
      <c r="AP13" s="6"/>
      <c r="AQ13" s="7">
        <v>12795704</v>
      </c>
      <c r="AR13" s="7">
        <v>2918568</v>
      </c>
      <c r="AS13" s="7">
        <v>820960</v>
      </c>
      <c r="AT13" s="7">
        <v>9056176</v>
      </c>
      <c r="AU13" s="8">
        <v>70.077749999999895</v>
      </c>
      <c r="AV13" s="8">
        <v>72.602418749999998</v>
      </c>
      <c r="AW13" s="8">
        <v>38.66561875</v>
      </c>
      <c r="AX13" s="8">
        <v>42.106246874999997</v>
      </c>
      <c r="AY13" s="8">
        <v>37.690771875000003</v>
      </c>
      <c r="AZ13" s="9">
        <v>457.233</v>
      </c>
      <c r="BA13" s="9">
        <v>392.11599999999999</v>
      </c>
      <c r="BB13" s="9">
        <v>1439.59</v>
      </c>
      <c r="BC13" s="9">
        <v>10.311999999999999</v>
      </c>
      <c r="BE13" s="44">
        <f t="shared" si="12"/>
        <v>0.99888239266268353</v>
      </c>
      <c r="BF13" s="10" t="e">
        <f t="shared" si="13"/>
        <v>#DIV/0!</v>
      </c>
      <c r="BG13" s="10">
        <f t="shared" si="14"/>
        <v>3.0007163182632635E-5</v>
      </c>
      <c r="BH13" s="10"/>
      <c r="BJ13" s="44"/>
      <c r="BK13" s="44"/>
      <c r="BL13" s="44"/>
      <c r="BM13" s="44"/>
      <c r="BN13" s="44"/>
      <c r="BP13" s="44"/>
      <c r="BQ13" s="44"/>
      <c r="BR13" s="44"/>
      <c r="BS13" s="44"/>
      <c r="BT13" s="44"/>
      <c r="BV13" s="51">
        <f t="shared" si="15"/>
        <v>0.17981875517957652</v>
      </c>
      <c r="BW13" s="51">
        <f t="shared" si="15"/>
        <v>0.18314612359176055</v>
      </c>
      <c r="BX13" s="51">
        <f t="shared" si="15"/>
        <v>0.11518746158574068</v>
      </c>
      <c r="BY13" s="51">
        <f t="shared" si="16"/>
        <v>0.18148243938566855</v>
      </c>
      <c r="BZ13" s="55"/>
      <c r="CA13" s="51"/>
      <c r="CC13" s="57"/>
    </row>
    <row r="14" spans="1:84" ht="14.25" outlineLevel="1" thickBot="1" x14ac:dyDescent="0.2">
      <c r="A14" s="11"/>
      <c r="B14" s="30" t="s">
        <v>20</v>
      </c>
      <c r="C14" s="31" t="s">
        <v>148</v>
      </c>
      <c r="D14" s="30">
        <v>218121242</v>
      </c>
      <c r="E14" s="31">
        <v>10</v>
      </c>
      <c r="F14" s="31">
        <v>32</v>
      </c>
      <c r="G14" s="31">
        <v>30</v>
      </c>
      <c r="I14" s="32">
        <f t="shared" si="0"/>
        <v>21.562027499999999</v>
      </c>
      <c r="J14" s="33">
        <f t="shared" si="1"/>
        <v>0.10544363212455943</v>
      </c>
      <c r="K14" s="33">
        <f t="shared" si="2"/>
        <v>2.8264354005466372E-2</v>
      </c>
      <c r="L14" s="33">
        <f t="shared" si="3"/>
        <v>2.1175159088815385E-2</v>
      </c>
      <c r="M14" s="33">
        <f t="shared" si="4"/>
        <v>7.7179278119093045E-2</v>
      </c>
      <c r="N14" s="30">
        <f t="shared" si="5"/>
        <v>6165056</v>
      </c>
      <c r="O14" s="33">
        <v>-12</v>
      </c>
      <c r="P14" s="34">
        <v>22108568</v>
      </c>
      <c r="Q14" s="34">
        <v>690892.75</v>
      </c>
      <c r="R14" s="34">
        <v>13255.34375</v>
      </c>
      <c r="S14" s="35">
        <v>22999496</v>
      </c>
      <c r="T14" s="35">
        <v>4618752</v>
      </c>
      <c r="U14" s="35">
        <v>1546304</v>
      </c>
      <c r="V14" s="35">
        <v>16834440</v>
      </c>
      <c r="W14" s="36">
        <v>70.921371874999906</v>
      </c>
      <c r="X14" s="36">
        <v>74.713256250000001</v>
      </c>
      <c r="Y14" s="36">
        <v>40.916131249999999</v>
      </c>
      <c r="Z14" s="36">
        <v>43.428543749999903</v>
      </c>
      <c r="AA14" s="36">
        <v>39.494587500000002</v>
      </c>
      <c r="AB14" s="37">
        <v>598.178</v>
      </c>
      <c r="AC14" s="37">
        <v>538.14099999999996</v>
      </c>
      <c r="AD14" s="37">
        <v>1743.52</v>
      </c>
      <c r="AE14" s="37">
        <v>10.375</v>
      </c>
      <c r="AG14" s="32">
        <f t="shared" si="6"/>
        <v>21.552600000000002</v>
      </c>
      <c r="AH14" s="33">
        <f t="shared" si="7"/>
        <v>0.10539752932453961</v>
      </c>
      <c r="AI14" s="33">
        <f t="shared" si="8"/>
        <v>2.8263620468473218E-2</v>
      </c>
      <c r="AJ14" s="33">
        <f t="shared" si="9"/>
        <v>2.117442555182223E-2</v>
      </c>
      <c r="AK14" s="33">
        <f t="shared" si="10"/>
        <v>7.7133908856066385E-2</v>
      </c>
      <c r="AL14" s="30">
        <f t="shared" si="11"/>
        <v>6164896</v>
      </c>
      <c r="AM14" s="33">
        <v>-12</v>
      </c>
      <c r="AN14" s="34"/>
      <c r="AO14" s="34"/>
      <c r="AP14" s="34"/>
      <c r="AQ14" s="35">
        <v>22989440</v>
      </c>
      <c r="AR14" s="35">
        <v>4618592</v>
      </c>
      <c r="AS14" s="35">
        <v>1546304</v>
      </c>
      <c r="AT14" s="35">
        <v>16824544</v>
      </c>
      <c r="AU14" s="36">
        <v>70.922443749999999</v>
      </c>
      <c r="AV14" s="36">
        <v>74.701409374999898</v>
      </c>
      <c r="AW14" s="36">
        <v>40.914924999999897</v>
      </c>
      <c r="AX14" s="36">
        <v>43.422737499999997</v>
      </c>
      <c r="AY14" s="36">
        <v>39.491587500000001</v>
      </c>
      <c r="AZ14" s="37">
        <v>534.35699999999997</v>
      </c>
      <c r="BA14" s="37">
        <v>457.53899999999999</v>
      </c>
      <c r="BB14" s="37">
        <v>1600.72</v>
      </c>
      <c r="BC14" s="37">
        <v>10.436999999999999</v>
      </c>
      <c r="BE14" s="38">
        <f t="shared" si="12"/>
        <v>0.999974047275483</v>
      </c>
      <c r="BF14" s="39" t="e">
        <f t="shared" si="13"/>
        <v>#DIV/0!</v>
      </c>
      <c r="BG14" s="39">
        <f t="shared" si="14"/>
        <v>1.1029101921600226E-4</v>
      </c>
      <c r="BH14" s="39"/>
      <c r="BJ14" s="38"/>
      <c r="BK14" s="38"/>
      <c r="BL14" s="38"/>
      <c r="BM14" s="38"/>
      <c r="BN14" s="38"/>
      <c r="BP14" s="38"/>
      <c r="BQ14" s="38"/>
      <c r="BR14" s="38"/>
      <c r="BS14" s="38"/>
      <c r="BT14" s="38"/>
      <c r="BV14" s="51">
        <f t="shared" si="15"/>
        <v>0.10669232235220959</v>
      </c>
      <c r="BW14" s="51">
        <f t="shared" si="15"/>
        <v>0.14977858962613885</v>
      </c>
      <c r="BX14" s="51">
        <f t="shared" si="15"/>
        <v>8.1903276131045213E-2</v>
      </c>
      <c r="BY14" s="51">
        <f t="shared" si="16"/>
        <v>0.12823545598917421</v>
      </c>
      <c r="BZ14" s="55">
        <f t="shared" ref="BZ14:CA14" si="17">AVERAGE(BV10:BV14)</f>
        <v>0.19710400223989466</v>
      </c>
      <c r="CA14" s="51">
        <f t="shared" si="17"/>
        <v>0.21316660412037564</v>
      </c>
      <c r="CB14" s="51">
        <f>AVERAGE(BX10:BX14)</f>
        <v>0.1256901688075448</v>
      </c>
      <c r="CC14" s="58">
        <f t="shared" ref="CC14" si="18">AVERAGE(BY10:BY14)</f>
        <v>0.20513530318013515</v>
      </c>
      <c r="CD14" s="51">
        <f>(SUM(AB10:AB14)-SUM(AZ10:AZ14))/SUM(AB10:AB14)</f>
        <v>0.19242352978751801</v>
      </c>
      <c r="CE14" s="51">
        <f>(SUM(AC10:AC14)-SUM(BA10:BA14))/SUM(AC10:AC14)</f>
        <v>0.20973734198616129</v>
      </c>
      <c r="CF14" s="51">
        <f>(SUM(AB10:AC14)-SUM(AZ10:BA14))/SUM(AB10:AC14)</f>
        <v>0.20056854551535466</v>
      </c>
    </row>
    <row r="15" spans="1:84" x14ac:dyDescent="0.15">
      <c r="A15" s="46"/>
      <c r="B15" s="46" t="s">
        <v>23</v>
      </c>
      <c r="C15" s="3" t="s">
        <v>144</v>
      </c>
      <c r="D15" s="46">
        <v>322589704</v>
      </c>
      <c r="E15" s="3">
        <v>10</v>
      </c>
      <c r="F15" s="3">
        <v>32</v>
      </c>
      <c r="G15" s="3">
        <v>30</v>
      </c>
      <c r="I15" s="4">
        <f t="shared" si="0"/>
        <v>4.4048550000000004</v>
      </c>
      <c r="J15" s="5">
        <f t="shared" si="1"/>
        <v>1.4564978180456744E-2</v>
      </c>
      <c r="K15" s="5">
        <f t="shared" si="2"/>
        <v>8.2289049126006829E-3</v>
      </c>
      <c r="L15" s="5">
        <f t="shared" si="3"/>
        <v>4.3908902932624288E-3</v>
      </c>
      <c r="M15" s="5">
        <f t="shared" si="4"/>
        <v>6.3360732678560631E-3</v>
      </c>
      <c r="N15" s="46">
        <f t="shared" si="5"/>
        <v>2654560</v>
      </c>
      <c r="O15" s="5">
        <v>-12</v>
      </c>
      <c r="P15" s="6">
        <v>30898742</v>
      </c>
      <c r="Q15" s="6">
        <v>965585.6875</v>
      </c>
      <c r="R15" s="6">
        <v>27935.75</v>
      </c>
      <c r="S15" s="7">
        <v>4698512</v>
      </c>
      <c r="T15" s="7">
        <v>1416456</v>
      </c>
      <c r="U15" s="7">
        <v>1238104</v>
      </c>
      <c r="V15" s="7">
        <v>2043952</v>
      </c>
      <c r="W15" s="8">
        <v>65.895415624999998</v>
      </c>
      <c r="X15" s="8">
        <v>67.664484375000001</v>
      </c>
      <c r="Y15" s="8">
        <v>29.421203125000002</v>
      </c>
      <c r="Z15" s="8">
        <v>43.104725000000002</v>
      </c>
      <c r="AA15" s="8">
        <v>43.299262499999998</v>
      </c>
      <c r="AB15" s="9">
        <v>475.726</v>
      </c>
      <c r="AC15" s="9">
        <v>417.60199999999998</v>
      </c>
      <c r="AD15" s="9">
        <v>1775.77</v>
      </c>
      <c r="AE15" s="9">
        <v>10.093</v>
      </c>
      <c r="AG15" s="4">
        <f t="shared" si="6"/>
        <v>4.4032425000000002</v>
      </c>
      <c r="AH15" s="5">
        <f t="shared" si="7"/>
        <v>1.4559646330187897E-2</v>
      </c>
      <c r="AI15" s="5">
        <f t="shared" si="8"/>
        <v>8.2267721724931433E-3</v>
      </c>
      <c r="AJ15" s="5">
        <f t="shared" si="9"/>
        <v>4.3887575531548892E-3</v>
      </c>
      <c r="AK15" s="5">
        <f t="shared" si="10"/>
        <v>6.3328741576947536E-3</v>
      </c>
      <c r="AL15" s="46">
        <f t="shared" si="11"/>
        <v>2653872</v>
      </c>
      <c r="AM15" s="5">
        <v>-12</v>
      </c>
      <c r="AN15" s="6"/>
      <c r="AO15" s="6"/>
      <c r="AP15" s="6"/>
      <c r="AQ15" s="7">
        <v>4696792</v>
      </c>
      <c r="AR15" s="7">
        <v>1415768</v>
      </c>
      <c r="AS15" s="7">
        <v>1238104</v>
      </c>
      <c r="AT15" s="7">
        <v>2042920</v>
      </c>
      <c r="AU15" s="8">
        <v>65.896912499999999</v>
      </c>
      <c r="AV15" s="8">
        <v>67.634931249999994</v>
      </c>
      <c r="AW15" s="8">
        <v>29.419762500000001</v>
      </c>
      <c r="AX15" s="8">
        <v>43.146528124999897</v>
      </c>
      <c r="AY15" s="8">
        <v>43.3130124999999</v>
      </c>
      <c r="AZ15" s="9">
        <v>357.51</v>
      </c>
      <c r="BA15" s="9">
        <v>354.23399999999998</v>
      </c>
      <c r="BB15" s="9">
        <v>1580.59</v>
      </c>
      <c r="BC15" s="9">
        <v>9.9529999999999994</v>
      </c>
      <c r="BE15" s="44">
        <f t="shared" si="12"/>
        <v>0.99974082333795422</v>
      </c>
      <c r="BF15" s="10" t="e">
        <f t="shared" si="13"/>
        <v>#DIV/0!</v>
      </c>
      <c r="BG15" s="10">
        <f t="shared" si="14"/>
        <v>6.0416483471770199E-5</v>
      </c>
      <c r="BH15" s="10">
        <f t="array" ref="BH15">AVERAGE(AL15:AL19/AQ15:AQ19) - AVERAGE(N15:N19/S15:S19)</f>
        <v>2.5588230968598413E-5</v>
      </c>
      <c r="BJ15" s="44">
        <f>IF( OR(ISBLANK(N15:N19),ISBLANK(AL15:AL19), ISBLANK(W15:W19),ISBLANK(AU15:AU19)), "·", bdRateExtend( N15:N19,W15:W19, AL15:AL19,AU15:AU19))</f>
        <v>6.1283591575600482E-4</v>
      </c>
      <c r="BK15" s="44">
        <f>IF( OR(ISBLANK(N15:N19),ISBLANK(AL15:AL19), ISBLANK(X15:X19),ISBLANK(AV15:AV19)), "·", bdRateExtend( N15:N19,X15:X19, AL15:AL19,AV15:AV19))</f>
        <v>1.2035210730723112E-3</v>
      </c>
      <c r="BL15" s="44">
        <f>IF( OR(ISBLANK(V15:V19),ISBLANK(AT15:AT19), ISBLANK(Y15:Y19),ISBLANK(AW15:AW19)), "·", bdRateExtend( V15:V19,Y15:Y19, AT15:AT19,AW15:AW19))</f>
        <v>3.3173335518243974E-4</v>
      </c>
      <c r="BM15" s="44">
        <f>IF( OR(ISBLANK(V15:V19),ISBLANK(AT15:AT19), ISBLANK(Z15:Z19),ISBLANK(AX15:AX19)), "·", bdRateExtend( V15:V19,Z15:Z19, AT15:AT19,AX15:AX19))</f>
        <v>-1.6184504877657435E-2</v>
      </c>
      <c r="BN15" s="44">
        <f>IF( OR(ISBLANK(V15:V19),ISBLANK(AT15:AT19), ISBLANK(AA15:AA19),ISBLANK(AY15:AY19)), "·", bdRateExtend( V15:V19,AA15:AA19, AT15:AT19,AY15:AY19))</f>
        <v>-1.1274704759095866E-2</v>
      </c>
      <c r="BP15" s="44">
        <f>IF( OR(ISBLANK(S15:S19),ISBLANK(AQ15:AQ19), ISBLANK(W15:W19),ISBLANK(AU15:AU19)), "·", bdRateExtend( S15:S19,W15:W19, AQ15:AQ19,AU15:AU19))</f>
        <v>1.3193016749868391E-3</v>
      </c>
      <c r="BQ15" s="44">
        <f>IF( OR(ISBLANK(S15:S19),ISBLANK(AQ15:AQ19), ISBLANK(X15:X19),ISBLANK(AV15:AV19)), "·", bdRateExtend( S15:S19,X15:X19, AQ15:AQ19,AV15:AV19))</f>
        <v>2.3896305915027671E-3</v>
      </c>
      <c r="BR15" s="44">
        <f>IF( OR(ISBLANK(S15:S19),ISBLANK(AQ15:AQ19), ISBLANK(Y15:Y19),ISBLANK(AW15:AW19)), "·", bdRateExtend( S15:S19,Y15:Y19, AQ15:AQ19,AW15:AW19))</f>
        <v>1.7929450644849076E-4</v>
      </c>
      <c r="BS15" s="44">
        <f>IF( OR(ISBLANK(S15:S19),ISBLANK(AQ15:AQ19), ISBLANK(Z15:Z19),ISBLANK(AX15:AX19)), "·", bdRateExtend( S15:S19,Z15:Z19, AQ15:AQ19,AX15:AX19))</f>
        <v>-1.15517477436472E-2</v>
      </c>
      <c r="BT15" s="44">
        <f>IF( OR(ISBLANK(S15:S19),ISBLANK(AQ15:AQ19), ISBLANK(AA15:AA19),ISBLANK(AY15:AY19)), "·", bdRateExtend( S15:S19,AA15:AA19, AQ15:AQ19,AY15:AY19))</f>
        <v>-8.0870586429354629E-3</v>
      </c>
      <c r="BV15" s="51">
        <f t="shared" si="15"/>
        <v>0.24849598298180048</v>
      </c>
      <c r="BW15" s="51">
        <f t="shared" si="15"/>
        <v>0.15174256828271895</v>
      </c>
      <c r="BX15" s="51">
        <f t="shared" si="15"/>
        <v>0.10991288286208239</v>
      </c>
      <c r="BY15" s="51">
        <f t="shared" si="16"/>
        <v>0.20011927563225973</v>
      </c>
      <c r="BZ15" s="55"/>
      <c r="CA15" s="51"/>
      <c r="CC15" s="57"/>
    </row>
    <row r="16" spans="1:84" outlineLevel="1" x14ac:dyDescent="0.15">
      <c r="A16" s="11"/>
      <c r="B16" s="11" t="s">
        <v>23</v>
      </c>
      <c r="C16" s="12" t="s">
        <v>145</v>
      </c>
      <c r="D16" s="11">
        <v>322589704</v>
      </c>
      <c r="E16" s="12">
        <v>10</v>
      </c>
      <c r="F16" s="12">
        <v>32</v>
      </c>
      <c r="G16" s="12">
        <v>30</v>
      </c>
      <c r="I16" s="13">
        <f t="shared" si="0"/>
        <v>7.0023150000000003</v>
      </c>
      <c r="J16" s="14">
        <f t="shared" si="1"/>
        <v>2.3153671389338576E-2</v>
      </c>
      <c r="K16" s="14">
        <f t="shared" si="2"/>
        <v>1.0043048367098536E-2</v>
      </c>
      <c r="L16" s="14">
        <f t="shared" si="3"/>
        <v>6.2050337477602821E-3</v>
      </c>
      <c r="M16" s="14">
        <f t="shared" si="4"/>
        <v>1.311062302224004E-2</v>
      </c>
      <c r="N16" s="11">
        <f t="shared" si="5"/>
        <v>3239784</v>
      </c>
      <c r="O16" s="14">
        <v>-12</v>
      </c>
      <c r="P16" s="15">
        <v>33174723</v>
      </c>
      <c r="Q16" s="15">
        <v>1036710.09375</v>
      </c>
      <c r="R16" s="15">
        <v>34658.125</v>
      </c>
      <c r="S16" s="16">
        <v>7469136</v>
      </c>
      <c r="T16" s="16">
        <v>2001680</v>
      </c>
      <c r="U16" s="16">
        <v>1238104</v>
      </c>
      <c r="V16" s="16">
        <v>4229352</v>
      </c>
      <c r="W16" s="17">
        <v>67.721312499999996</v>
      </c>
      <c r="X16" s="17">
        <v>69.756862499999997</v>
      </c>
      <c r="Y16" s="17">
        <v>31.811240625</v>
      </c>
      <c r="Z16" s="17">
        <v>43.961996874999997</v>
      </c>
      <c r="AA16" s="17">
        <v>44.231640624999997</v>
      </c>
      <c r="AB16" s="18">
        <v>520.83500000000004</v>
      </c>
      <c r="AC16" s="18">
        <v>431.221</v>
      </c>
      <c r="AD16" s="18">
        <v>1836.77</v>
      </c>
      <c r="AE16" s="18">
        <v>9.843</v>
      </c>
      <c r="AG16" s="13">
        <f t="shared" si="6"/>
        <v>6.9963749999999996</v>
      </c>
      <c r="AH16" s="14">
        <f t="shared" si="7"/>
        <v>2.3134030340906355E-2</v>
      </c>
      <c r="AI16" s="14">
        <f t="shared" si="8"/>
        <v>1.0035038192043476E-2</v>
      </c>
      <c r="AJ16" s="14">
        <f t="shared" si="9"/>
        <v>6.1970235727052221E-3</v>
      </c>
      <c r="AK16" s="14">
        <f t="shared" si="10"/>
        <v>1.3098992148862879E-2</v>
      </c>
      <c r="AL16" s="11">
        <f t="shared" si="11"/>
        <v>3237200</v>
      </c>
      <c r="AM16" s="14">
        <v>-12</v>
      </c>
      <c r="AN16" s="15"/>
      <c r="AO16" s="15"/>
      <c r="AP16" s="15"/>
      <c r="AQ16" s="16">
        <v>7462800</v>
      </c>
      <c r="AR16" s="16">
        <v>1999096</v>
      </c>
      <c r="AS16" s="16">
        <v>1238104</v>
      </c>
      <c r="AT16" s="16">
        <v>4225600</v>
      </c>
      <c r="AU16" s="17">
        <v>67.708456249999998</v>
      </c>
      <c r="AV16" s="17">
        <v>69.748900000000006</v>
      </c>
      <c r="AW16" s="17">
        <v>31.802340624999999</v>
      </c>
      <c r="AX16" s="17">
        <v>44.019993749999998</v>
      </c>
      <c r="AY16" s="17">
        <v>44.28739375</v>
      </c>
      <c r="AZ16" s="18">
        <v>417.69600000000003</v>
      </c>
      <c r="BA16" s="18">
        <v>367.524</v>
      </c>
      <c r="BB16" s="18">
        <v>1653.63</v>
      </c>
      <c r="BC16" s="18">
        <v>9.8119999999999994</v>
      </c>
      <c r="BE16" s="43">
        <f t="shared" si="12"/>
        <v>0.99920241596353343</v>
      </c>
      <c r="BF16" s="19" t="e">
        <f t="shared" si="13"/>
        <v>#DIV/0!</v>
      </c>
      <c r="BG16" s="19">
        <f t="shared" si="14"/>
        <v>2.2013083820604518E-5</v>
      </c>
      <c r="BH16" s="19"/>
      <c r="BJ16" s="43"/>
      <c r="BK16" s="43"/>
      <c r="BL16" s="43"/>
      <c r="BM16" s="43"/>
      <c r="BN16" s="43"/>
      <c r="BP16" s="43"/>
      <c r="BQ16" s="43"/>
      <c r="BR16" s="43"/>
      <c r="BS16" s="43"/>
      <c r="BT16" s="43"/>
      <c r="BV16" s="51">
        <f t="shared" si="15"/>
        <v>0.19802624631601179</v>
      </c>
      <c r="BW16" s="51">
        <f t="shared" si="15"/>
        <v>0.14771312157803076</v>
      </c>
      <c r="BX16" s="51">
        <f t="shared" si="15"/>
        <v>9.9707638953162273E-2</v>
      </c>
      <c r="BY16" s="51">
        <f t="shared" si="16"/>
        <v>0.17286968394702129</v>
      </c>
      <c r="BZ16" s="55"/>
      <c r="CA16" s="51"/>
      <c r="CC16" s="57"/>
    </row>
    <row r="17" spans="1:84" outlineLevel="1" x14ac:dyDescent="0.15">
      <c r="A17" s="46"/>
      <c r="B17" s="46" t="s">
        <v>23</v>
      </c>
      <c r="C17" s="3" t="s">
        <v>146</v>
      </c>
      <c r="D17" s="46">
        <v>322589704</v>
      </c>
      <c r="E17" s="3">
        <v>10</v>
      </c>
      <c r="F17" s="3">
        <v>32</v>
      </c>
      <c r="G17" s="3">
        <v>30</v>
      </c>
      <c r="I17" s="4">
        <f t="shared" si="0"/>
        <v>11.682667500000001</v>
      </c>
      <c r="J17" s="5">
        <f t="shared" si="1"/>
        <v>3.8629602388053901E-2</v>
      </c>
      <c r="K17" s="5">
        <f t="shared" si="2"/>
        <v>1.2780990679107353E-2</v>
      </c>
      <c r="L17" s="5">
        <f t="shared" si="3"/>
        <v>8.9429760597690994E-3</v>
      </c>
      <c r="M17" s="5">
        <f t="shared" si="4"/>
        <v>2.5848611708946544E-2</v>
      </c>
      <c r="N17" s="46">
        <f t="shared" si="5"/>
        <v>4123016</v>
      </c>
      <c r="O17" s="5">
        <v>-12</v>
      </c>
      <c r="P17" s="6">
        <v>33536779</v>
      </c>
      <c r="Q17" s="6">
        <v>1048024.34375</v>
      </c>
      <c r="R17" s="6">
        <v>36443.15625</v>
      </c>
      <c r="S17" s="7">
        <v>12461512</v>
      </c>
      <c r="T17" s="7">
        <v>2884912</v>
      </c>
      <c r="U17" s="7">
        <v>1238104</v>
      </c>
      <c r="V17" s="7">
        <v>8338496</v>
      </c>
      <c r="W17" s="8">
        <v>69.122003125000006</v>
      </c>
      <c r="X17" s="8">
        <v>71.601190624999902</v>
      </c>
      <c r="Y17" s="8">
        <v>34.352246874999999</v>
      </c>
      <c r="Z17" s="8">
        <v>44.816187499999998</v>
      </c>
      <c r="AA17" s="8">
        <v>45.212228124999903</v>
      </c>
      <c r="AB17" s="9">
        <v>560.51199999999994</v>
      </c>
      <c r="AC17" s="9">
        <v>465.22800000000001</v>
      </c>
      <c r="AD17" s="9">
        <v>1911.09</v>
      </c>
      <c r="AE17" s="9">
        <v>9.75</v>
      </c>
      <c r="AG17" s="4">
        <f t="shared" si="6"/>
        <v>11.681609999999999</v>
      </c>
      <c r="AH17" s="5">
        <f t="shared" si="7"/>
        <v>3.8626105686249676E-2</v>
      </c>
      <c r="AI17" s="5">
        <f t="shared" si="8"/>
        <v>1.2786868114054873E-2</v>
      </c>
      <c r="AJ17" s="5">
        <f t="shared" si="9"/>
        <v>8.9488534947166198E-3</v>
      </c>
      <c r="AK17" s="5">
        <f t="shared" si="10"/>
        <v>2.5839237572194803E-2</v>
      </c>
      <c r="AL17" s="46">
        <f t="shared" si="11"/>
        <v>4124912</v>
      </c>
      <c r="AM17" s="5">
        <v>-12</v>
      </c>
      <c r="AN17" s="6"/>
      <c r="AO17" s="6"/>
      <c r="AP17" s="6"/>
      <c r="AQ17" s="7">
        <v>12460384</v>
      </c>
      <c r="AR17" s="7">
        <v>2886808</v>
      </c>
      <c r="AS17" s="7">
        <v>1238104</v>
      </c>
      <c r="AT17" s="7">
        <v>8335472</v>
      </c>
      <c r="AU17" s="8">
        <v>69.126346874999996</v>
      </c>
      <c r="AV17" s="8">
        <v>71.591274999999996</v>
      </c>
      <c r="AW17" s="8">
        <v>34.349609375</v>
      </c>
      <c r="AX17" s="8">
        <v>44.832331249999903</v>
      </c>
      <c r="AY17" s="8">
        <v>45.2151</v>
      </c>
      <c r="AZ17" s="9">
        <v>463.89800000000002</v>
      </c>
      <c r="BA17" s="9">
        <v>406.05399999999997</v>
      </c>
      <c r="BB17" s="9">
        <v>1739.7</v>
      </c>
      <c r="BC17" s="9">
        <v>9.9369999999999994</v>
      </c>
      <c r="BE17" s="44">
        <f t="shared" si="12"/>
        <v>1.0004598575411785</v>
      </c>
      <c r="BF17" s="10" t="e">
        <f t="shared" si="13"/>
        <v>#DIV/0!</v>
      </c>
      <c r="BG17" s="10">
        <f t="shared" si="14"/>
        <v>1.821139775984304E-4</v>
      </c>
      <c r="BH17" s="10"/>
      <c r="BJ17" s="44"/>
      <c r="BK17" s="44"/>
      <c r="BL17" s="44"/>
      <c r="BM17" s="44"/>
      <c r="BN17" s="44"/>
      <c r="BP17" s="44"/>
      <c r="BQ17" s="44"/>
      <c r="BR17" s="44"/>
      <c r="BS17" s="44"/>
      <c r="BT17" s="44"/>
      <c r="BV17" s="51">
        <f t="shared" si="15"/>
        <v>0.17236740694222413</v>
      </c>
      <c r="BW17" s="51">
        <f t="shared" si="15"/>
        <v>0.12719354810974412</v>
      </c>
      <c r="BX17" s="51">
        <f t="shared" si="15"/>
        <v>8.9681804624585901E-2</v>
      </c>
      <c r="BY17" s="51">
        <f t="shared" si="16"/>
        <v>0.14978047752598411</v>
      </c>
      <c r="BZ17" s="55"/>
      <c r="CA17" s="51"/>
      <c r="CC17" s="57"/>
    </row>
    <row r="18" spans="1:84" outlineLevel="1" x14ac:dyDescent="0.15">
      <c r="A18" s="11"/>
      <c r="B18" s="11" t="s">
        <v>23</v>
      </c>
      <c r="C18" s="12" t="s">
        <v>147</v>
      </c>
      <c r="D18" s="11">
        <v>322589704</v>
      </c>
      <c r="E18" s="12">
        <v>10</v>
      </c>
      <c r="F18" s="12">
        <v>32</v>
      </c>
      <c r="G18" s="12">
        <v>30</v>
      </c>
      <c r="I18" s="13">
        <f t="shared" si="0"/>
        <v>20.167642499999999</v>
      </c>
      <c r="J18" s="14">
        <f t="shared" si="1"/>
        <v>6.6685798502732124E-2</v>
      </c>
      <c r="K18" s="14">
        <f t="shared" si="2"/>
        <v>1.7280179531086338E-2</v>
      </c>
      <c r="L18" s="14">
        <f t="shared" si="3"/>
        <v>1.3442164911748083E-2</v>
      </c>
      <c r="M18" s="14">
        <f t="shared" si="4"/>
        <v>4.940561897164579E-2</v>
      </c>
      <c r="N18" s="11">
        <f t="shared" si="5"/>
        <v>5574408</v>
      </c>
      <c r="O18" s="14">
        <v>-12</v>
      </c>
      <c r="P18" s="15">
        <v>34802045</v>
      </c>
      <c r="Q18" s="15">
        <v>1087563.90625</v>
      </c>
      <c r="R18" s="15">
        <v>40924.21875</v>
      </c>
      <c r="S18" s="16">
        <v>21512152</v>
      </c>
      <c r="T18" s="16">
        <v>4336304</v>
      </c>
      <c r="U18" s="16">
        <v>1238104</v>
      </c>
      <c r="V18" s="16">
        <v>15937744</v>
      </c>
      <c r="W18" s="17">
        <v>70.369831250000004</v>
      </c>
      <c r="X18" s="17">
        <v>72.947381249999907</v>
      </c>
      <c r="Y18" s="17">
        <v>37.033359375000003</v>
      </c>
      <c r="Z18" s="17">
        <v>46.129693750000001</v>
      </c>
      <c r="AA18" s="17">
        <v>46.645259375000002</v>
      </c>
      <c r="AB18" s="18">
        <v>607.78800000000001</v>
      </c>
      <c r="AC18" s="18">
        <v>537.05799999999999</v>
      </c>
      <c r="AD18" s="18">
        <v>2033.27</v>
      </c>
      <c r="AE18" s="18">
        <v>9.8119999999999994</v>
      </c>
      <c r="AG18" s="13">
        <f t="shared" si="6"/>
        <v>20.169225000000001</v>
      </c>
      <c r="AH18" s="14">
        <f t="shared" si="7"/>
        <v>6.6691031155786673E-2</v>
      </c>
      <c r="AI18" s="14">
        <f t="shared" si="8"/>
        <v>1.7283056250301156E-2</v>
      </c>
      <c r="AJ18" s="14">
        <f t="shared" si="9"/>
        <v>1.3445041630962903E-2</v>
      </c>
      <c r="AK18" s="14">
        <f t="shared" si="10"/>
        <v>4.9407974905485513E-2</v>
      </c>
      <c r="AL18" s="11">
        <f t="shared" si="11"/>
        <v>5575336</v>
      </c>
      <c r="AM18" s="14">
        <v>-12</v>
      </c>
      <c r="AN18" s="15"/>
      <c r="AO18" s="15"/>
      <c r="AP18" s="15"/>
      <c r="AQ18" s="16">
        <v>21513840</v>
      </c>
      <c r="AR18" s="16">
        <v>4337232</v>
      </c>
      <c r="AS18" s="16">
        <v>1238104</v>
      </c>
      <c r="AT18" s="16">
        <v>15938504</v>
      </c>
      <c r="AU18" s="17">
        <v>70.363403125000005</v>
      </c>
      <c r="AV18" s="17">
        <v>72.940215624999894</v>
      </c>
      <c r="AW18" s="17">
        <v>37.037828124999898</v>
      </c>
      <c r="AX18" s="17">
        <v>46.1410249999999</v>
      </c>
      <c r="AY18" s="17">
        <v>46.651574999999902</v>
      </c>
      <c r="AZ18" s="18">
        <v>534.21799999999996</v>
      </c>
      <c r="BA18" s="18">
        <v>483.827</v>
      </c>
      <c r="BB18" s="18">
        <v>1893.06</v>
      </c>
      <c r="BC18" s="18">
        <v>9.843</v>
      </c>
      <c r="BE18" s="43">
        <f t="shared" si="12"/>
        <v>1.0001664750768153</v>
      </c>
      <c r="BF18" s="19" t="e">
        <f t="shared" si="13"/>
        <v>#DIV/0!</v>
      </c>
      <c r="BG18" s="19">
        <f t="shared" si="14"/>
        <v>2.2803524648451479E-5</v>
      </c>
      <c r="BH18" s="19"/>
      <c r="BJ18" s="43"/>
      <c r="BK18" s="43"/>
      <c r="BL18" s="43"/>
      <c r="BM18" s="43"/>
      <c r="BN18" s="43"/>
      <c r="BP18" s="43"/>
      <c r="BQ18" s="43"/>
      <c r="BR18" s="43"/>
      <c r="BS18" s="43"/>
      <c r="BT18" s="43"/>
      <c r="BV18" s="51">
        <f t="shared" si="15"/>
        <v>0.12104549612693907</v>
      </c>
      <c r="BW18" s="51">
        <f t="shared" si="15"/>
        <v>9.9115924164615357E-2</v>
      </c>
      <c r="BX18" s="51">
        <f t="shared" si="15"/>
        <v>6.8957885573485089E-2</v>
      </c>
      <c r="BY18" s="51">
        <f t="shared" si="16"/>
        <v>0.11008071014577722</v>
      </c>
      <c r="BZ18" s="55"/>
      <c r="CA18" s="51"/>
      <c r="CC18" s="57"/>
    </row>
    <row r="19" spans="1:84" ht="14.25" outlineLevel="1" thickBot="1" x14ac:dyDescent="0.2">
      <c r="A19" s="46"/>
      <c r="B19" s="20" t="s">
        <v>23</v>
      </c>
      <c r="C19" s="21" t="s">
        <v>148</v>
      </c>
      <c r="D19" s="20">
        <v>322589704</v>
      </c>
      <c r="E19" s="21">
        <v>10</v>
      </c>
      <c r="F19" s="21">
        <v>32</v>
      </c>
      <c r="G19" s="21">
        <v>30</v>
      </c>
      <c r="I19" s="22">
        <f t="shared" si="0"/>
        <v>35.688764999999997</v>
      </c>
      <c r="J19" s="23">
        <f t="shared" si="1"/>
        <v>0.11800753566518044</v>
      </c>
      <c r="K19" s="23">
        <f t="shared" si="2"/>
        <v>2.7760638014659018E-2</v>
      </c>
      <c r="L19" s="23">
        <f t="shared" si="3"/>
        <v>2.064958651005179E-2</v>
      </c>
      <c r="M19" s="23">
        <f t="shared" si="4"/>
        <v>9.0246897650521421E-2</v>
      </c>
      <c r="N19" s="20">
        <f t="shared" si="5"/>
        <v>8955296</v>
      </c>
      <c r="O19" s="23">
        <v>-12</v>
      </c>
      <c r="P19" s="24">
        <v>33040002</v>
      </c>
      <c r="Q19" s="24">
        <v>1032500.0625</v>
      </c>
      <c r="R19" s="24">
        <v>17720.5</v>
      </c>
      <c r="S19" s="25">
        <v>38068016</v>
      </c>
      <c r="T19" s="25">
        <v>6661344</v>
      </c>
      <c r="U19" s="25">
        <v>2293952</v>
      </c>
      <c r="V19" s="25">
        <v>29112720</v>
      </c>
      <c r="W19" s="26">
        <v>71.147937499999898</v>
      </c>
      <c r="X19" s="26">
        <v>75.002496874999906</v>
      </c>
      <c r="Y19" s="26">
        <v>39.495606249999902</v>
      </c>
      <c r="Z19" s="26">
        <v>47.874012499999999</v>
      </c>
      <c r="AA19" s="26">
        <v>48.468343750000003</v>
      </c>
      <c r="AB19" s="27">
        <v>675.197</v>
      </c>
      <c r="AC19" s="27">
        <v>651.59500000000003</v>
      </c>
      <c r="AD19" s="27">
        <v>2228.9499999999998</v>
      </c>
      <c r="AE19" s="27">
        <v>9.89</v>
      </c>
      <c r="AG19" s="22">
        <f t="shared" si="6"/>
        <v>35.699182499999999</v>
      </c>
      <c r="AH19" s="23">
        <f t="shared" si="7"/>
        <v>0.11804198189784755</v>
      </c>
      <c r="AI19" s="23">
        <f t="shared" si="8"/>
        <v>2.7749924715514167E-2</v>
      </c>
      <c r="AJ19" s="23">
        <f t="shared" si="9"/>
        <v>2.0638873210906943E-2</v>
      </c>
      <c r="AK19" s="23">
        <f t="shared" si="10"/>
        <v>9.029205718233338E-2</v>
      </c>
      <c r="AL19" s="20">
        <f t="shared" si="11"/>
        <v>8951840</v>
      </c>
      <c r="AM19" s="23">
        <v>-12</v>
      </c>
      <c r="AN19" s="24"/>
      <c r="AO19" s="24"/>
      <c r="AP19" s="24"/>
      <c r="AQ19" s="25">
        <v>38079128</v>
      </c>
      <c r="AR19" s="25">
        <v>6657888</v>
      </c>
      <c r="AS19" s="25">
        <v>2293952</v>
      </c>
      <c r="AT19" s="25">
        <v>29127288</v>
      </c>
      <c r="AU19" s="26">
        <v>71.151337499999897</v>
      </c>
      <c r="AV19" s="26">
        <v>74.998121874999995</v>
      </c>
      <c r="AW19" s="26">
        <v>39.493043749999998</v>
      </c>
      <c r="AX19" s="26">
        <v>47.871074999999998</v>
      </c>
      <c r="AY19" s="26">
        <v>48.476678124999999</v>
      </c>
      <c r="AZ19" s="27">
        <v>614.73599999999999</v>
      </c>
      <c r="BA19" s="27">
        <v>599.56100000000004</v>
      </c>
      <c r="BB19" s="27">
        <v>2099.84</v>
      </c>
      <c r="BC19" s="27">
        <v>9.9209999999999994</v>
      </c>
      <c r="BE19" s="28">
        <f t="shared" si="12"/>
        <v>0.99961408310791733</v>
      </c>
      <c r="BF19" s="29" t="e">
        <f t="shared" si="13"/>
        <v>#DIV/0!</v>
      </c>
      <c r="BG19" s="29">
        <f t="shared" si="14"/>
        <v>-1.5940591469632004E-4</v>
      </c>
      <c r="BH19" s="29"/>
      <c r="BJ19" s="28"/>
      <c r="BK19" s="28"/>
      <c r="BL19" s="28"/>
      <c r="BM19" s="28"/>
      <c r="BN19" s="28"/>
      <c r="BP19" s="28"/>
      <c r="BQ19" s="28"/>
      <c r="BR19" s="28"/>
      <c r="BS19" s="28"/>
      <c r="BT19" s="28"/>
      <c r="BV19" s="51">
        <f t="shared" si="15"/>
        <v>8.9545717768295785E-2</v>
      </c>
      <c r="BW19" s="51">
        <f t="shared" si="15"/>
        <v>7.9856352488892626E-2</v>
      </c>
      <c r="BX19" s="51">
        <f t="shared" si="15"/>
        <v>5.7924134682249349E-2</v>
      </c>
      <c r="BY19" s="51">
        <f t="shared" si="16"/>
        <v>8.4701035128594199E-2</v>
      </c>
      <c r="BZ19" s="55">
        <f t="shared" ref="BZ19:CA19" si="19">AVERAGE(BV15:BV19)</f>
        <v>0.16589617002705426</v>
      </c>
      <c r="CA19" s="51">
        <f t="shared" si="19"/>
        <v>0.12112430292480036</v>
      </c>
      <c r="CB19" s="51">
        <f>AVERAGE(BX15:BX19)</f>
        <v>8.5236869339112994E-2</v>
      </c>
      <c r="CC19" s="58">
        <f t="shared" ref="CC19" si="20">AVERAGE(BY15:BY19)</f>
        <v>0.14351023647592731</v>
      </c>
      <c r="CD19" s="51">
        <f>(SUM(AB15:AB19)-SUM(AZ15:AZ19))/SUM(AB15:AB19)</f>
        <v>0.15915167929669041</v>
      </c>
      <c r="CE19" s="51">
        <f>(SUM(AC15:AC19)-SUM(BA15:BA19))/SUM(AC15:AC19)</f>
        <v>0.11647561996944103</v>
      </c>
      <c r="CF19" s="51">
        <f>(SUM(AB15:AC19)-SUM(AZ15:BA19))/SUM(AB15:AC19)</f>
        <v>0.13916098078110159</v>
      </c>
    </row>
    <row r="20" spans="1:84" x14ac:dyDescent="0.15">
      <c r="A20" s="11"/>
      <c r="B20" s="11" t="s">
        <v>26</v>
      </c>
      <c r="C20" s="12" t="s">
        <v>144</v>
      </c>
      <c r="D20" s="11">
        <v>250602891</v>
      </c>
      <c r="E20" s="12">
        <v>10</v>
      </c>
      <c r="F20" s="12">
        <v>32</v>
      </c>
      <c r="G20" s="12">
        <v>50</v>
      </c>
      <c r="I20" s="13">
        <f t="shared" si="0"/>
        <v>5.0936000000000003</v>
      </c>
      <c r="J20" s="14">
        <f t="shared" si="1"/>
        <v>1.3008245782767127E-2</v>
      </c>
      <c r="K20" s="14">
        <f t="shared" si="2"/>
        <v>7.583088895810065E-3</v>
      </c>
      <c r="L20" s="14">
        <f t="shared" si="3"/>
        <v>3.7914646403660202E-3</v>
      </c>
      <c r="M20" s="14">
        <f t="shared" si="4"/>
        <v>5.425156886957062E-3</v>
      </c>
      <c r="N20" s="11">
        <f t="shared" si="5"/>
        <v>1900344</v>
      </c>
      <c r="O20" s="14">
        <v>-12</v>
      </c>
      <c r="P20" s="15">
        <v>30202618</v>
      </c>
      <c r="Q20" s="15">
        <v>943831.8125</v>
      </c>
      <c r="R20" s="15">
        <v>27795.1875</v>
      </c>
      <c r="S20" s="16">
        <v>3259904</v>
      </c>
      <c r="T20" s="16">
        <v>950152</v>
      </c>
      <c r="U20" s="16">
        <v>950192</v>
      </c>
      <c r="V20" s="16">
        <v>1359560</v>
      </c>
      <c r="W20" s="17">
        <v>67.119896874999995</v>
      </c>
      <c r="X20" s="17">
        <v>68.826574999999906</v>
      </c>
      <c r="Y20" s="17">
        <v>30.701740624999999</v>
      </c>
      <c r="Z20" s="17">
        <v>39.504118749999897</v>
      </c>
      <c r="AA20" s="17">
        <v>38.223546874999997</v>
      </c>
      <c r="AB20" s="18">
        <v>517.50800000000004</v>
      </c>
      <c r="AC20" s="18">
        <v>460.06200000000001</v>
      </c>
      <c r="AD20" s="18">
        <v>1816.06</v>
      </c>
      <c r="AE20" s="18">
        <v>10.875</v>
      </c>
      <c r="AG20" s="13">
        <f t="shared" si="6"/>
        <v>5.0977750000000004</v>
      </c>
      <c r="AH20" s="14">
        <f t="shared" si="7"/>
        <v>1.3018908069979129E-2</v>
      </c>
      <c r="AI20" s="14">
        <f t="shared" si="8"/>
        <v>7.5831527418412743E-3</v>
      </c>
      <c r="AJ20" s="14">
        <f t="shared" si="9"/>
        <v>3.79152848639723E-3</v>
      </c>
      <c r="AK20" s="14">
        <f t="shared" si="10"/>
        <v>5.4357553281378541E-3</v>
      </c>
      <c r="AL20" s="11">
        <f t="shared" si="11"/>
        <v>1900360</v>
      </c>
      <c r="AM20" s="14">
        <v>-12</v>
      </c>
      <c r="AN20" s="15"/>
      <c r="AO20" s="15"/>
      <c r="AP20" s="15"/>
      <c r="AQ20" s="16">
        <v>3262576</v>
      </c>
      <c r="AR20" s="16">
        <v>950168</v>
      </c>
      <c r="AS20" s="16">
        <v>950192</v>
      </c>
      <c r="AT20" s="16">
        <v>1362216</v>
      </c>
      <c r="AU20" s="17">
        <v>67.0863093749999</v>
      </c>
      <c r="AV20" s="17">
        <v>68.78515625</v>
      </c>
      <c r="AW20" s="17">
        <v>30.688953125000001</v>
      </c>
      <c r="AX20" s="17">
        <v>39.545059375000001</v>
      </c>
      <c r="AY20" s="17">
        <v>38.243134374999997</v>
      </c>
      <c r="AZ20" s="18">
        <v>385.46</v>
      </c>
      <c r="BA20" s="18">
        <v>344.64499999999998</v>
      </c>
      <c r="BB20" s="18">
        <v>1565.81</v>
      </c>
      <c r="BC20" s="18">
        <v>10.75</v>
      </c>
      <c r="BE20" s="43">
        <f t="shared" si="12"/>
        <v>1.0000084195282537</v>
      </c>
      <c r="BF20" s="19" t="e">
        <f t="shared" si="13"/>
        <v>#DIV/0!</v>
      </c>
      <c r="BG20" s="19">
        <f t="shared" si="14"/>
        <v>-4.7251878138132586E-4</v>
      </c>
      <c r="BH20" s="19">
        <f t="array" ref="BH20">AVERAGE(AL20:AL24/AQ20:AQ24) - AVERAGE(N20:N24/S20:S24)</f>
        <v>6.4578575622864509E-5</v>
      </c>
      <c r="BJ20" s="43">
        <f>IF( OR(ISBLANK(N20:N24),ISBLANK(AL20:AL24), ISBLANK(W20:W24),ISBLANK(AU20:AU24)), "·", bdRateExtend( N20:N24,W20:W24, AL20:AL24,AU20:AU24))</f>
        <v>1.457544761059415E-3</v>
      </c>
      <c r="BK20" s="43">
        <f>IF( OR(ISBLANK(N20:N24),ISBLANK(AL20:AL24), ISBLANK(X20:X24),ISBLANK(AV20:AV24)), "·", bdRateExtend( N20:N24,X20:X24, AL20:AL24,AV20:AV24))</f>
        <v>1.9218404516778698E-3</v>
      </c>
      <c r="BL20" s="43">
        <f>IF( OR(ISBLANK(V20:V24),ISBLANK(AT20:AT24), ISBLANK(Y20:Y24),ISBLANK(AW20:AW24)), "·", bdRateExtend( V20:V24,Y20:Y24, AT20:AT24,AW20:AW24))</f>
        <v>2.8758548205307655E-3</v>
      </c>
      <c r="BM20" s="43">
        <f>IF( OR(ISBLANK(V20:V24),ISBLANK(AT20:AT24), ISBLANK(Z20:Z24),ISBLANK(AX20:AX24)), "·", bdRateExtend( V20:V24,Z20:Z24, AT20:AT24,AX20:AX24))</f>
        <v>-2.4082372611997638E-3</v>
      </c>
      <c r="BN20" s="43">
        <f>IF( OR(ISBLANK(V20:V24),ISBLANK(AT20:AT24), ISBLANK(AA20:AA24),ISBLANK(AY20:AY24)), "·", bdRateExtend( V20:V24,AA20:AA24, AT20:AT24,AY20:AY24))</f>
        <v>-2.1394502964092732E-3</v>
      </c>
      <c r="BP20" s="43">
        <f>IF( OR(ISBLANK(S20:S24),ISBLANK(AQ20:AQ24), ISBLANK(W20:W24),ISBLANK(AU20:AU24)), "·", bdRateExtend( S20:S24,W20:W24, AQ20:AQ24,AU20:AU24))</f>
        <v>2.1676302610060816E-3</v>
      </c>
      <c r="BQ20" s="43">
        <f>IF( OR(ISBLANK(S20:S24),ISBLANK(AQ20:AQ24), ISBLANK(X20:X24),ISBLANK(AV20:AV24)), "·", bdRateExtend( S20:S24,X20:X24, AQ20:AQ24,AV20:AV24))</f>
        <v>2.7952613388064762E-3</v>
      </c>
      <c r="BR20" s="43">
        <f>IF( OR(ISBLANK(S20:S24),ISBLANK(AQ20:AQ24), ISBLANK(Y20:Y24),ISBLANK(AW20:AW24)), "·", bdRateExtend( S20:S24,Y20:Y24, AQ20:AQ24,AW20:AW24))</f>
        <v>1.9000582928363485E-3</v>
      </c>
      <c r="BS20" s="43">
        <f>IF( OR(ISBLANK(S20:S24),ISBLANK(AQ20:AQ24), ISBLANK(Z20:Z24),ISBLANK(AX20:AX24)), "·", bdRateExtend( S20:S24,Z20:Z24, AQ20:AQ24,AX20:AX24))</f>
        <v>-8.4232308592302463E-4</v>
      </c>
      <c r="BT20" s="43">
        <f>IF( OR(ISBLANK(S20:S24),ISBLANK(AQ20:AQ24), ISBLANK(AA20:AA24),ISBLANK(AY20:AY24)), "·", bdRateExtend( S20:S24,AA20:AA24, AQ20:AQ24,AY20:AY24))</f>
        <v>-1.6751467016586918E-3</v>
      </c>
      <c r="BV20" s="51">
        <f t="shared" si="15"/>
        <v>0.25516127286921175</v>
      </c>
      <c r="BW20" s="51">
        <f t="shared" si="15"/>
        <v>0.25087270846103354</v>
      </c>
      <c r="BX20" s="51">
        <f t="shared" si="15"/>
        <v>0.13779831062850348</v>
      </c>
      <c r="BY20" s="51">
        <f t="shared" si="16"/>
        <v>0.25301699066512262</v>
      </c>
      <c r="BZ20" s="55"/>
      <c r="CA20" s="51"/>
      <c r="CC20" s="57"/>
    </row>
    <row r="21" spans="1:84" outlineLevel="1" x14ac:dyDescent="0.15">
      <c r="A21" s="46"/>
      <c r="B21" s="46" t="s">
        <v>26</v>
      </c>
      <c r="C21" s="3" t="s">
        <v>145</v>
      </c>
      <c r="D21" s="46">
        <v>250602891</v>
      </c>
      <c r="E21" s="3">
        <v>10</v>
      </c>
      <c r="F21" s="3">
        <v>32</v>
      </c>
      <c r="G21" s="3">
        <v>50</v>
      </c>
      <c r="I21" s="4">
        <f t="shared" si="0"/>
        <v>7.5828249999999997</v>
      </c>
      <c r="J21" s="5">
        <f t="shared" si="1"/>
        <v>1.9365331264275001E-2</v>
      </c>
      <c r="K21" s="5">
        <f t="shared" si="2"/>
        <v>9.0187626766045567E-3</v>
      </c>
      <c r="L21" s="5">
        <f t="shared" si="3"/>
        <v>5.2271384211605128E-3</v>
      </c>
      <c r="M21" s="5">
        <f t="shared" si="4"/>
        <v>1.0346568587670442E-2</v>
      </c>
      <c r="N21" s="46">
        <f t="shared" si="5"/>
        <v>2260128</v>
      </c>
      <c r="O21" s="5">
        <v>-12</v>
      </c>
      <c r="P21" s="6">
        <v>31470210</v>
      </c>
      <c r="Q21" s="6">
        <v>983444.0625</v>
      </c>
      <c r="R21" s="6">
        <v>32994.5</v>
      </c>
      <c r="S21" s="7">
        <v>4853008</v>
      </c>
      <c r="T21" s="7">
        <v>1309936</v>
      </c>
      <c r="U21" s="7">
        <v>950192</v>
      </c>
      <c r="V21" s="7">
        <v>2592880</v>
      </c>
      <c r="W21" s="8">
        <v>68.687637499999994</v>
      </c>
      <c r="X21" s="8">
        <v>70.768968749999999</v>
      </c>
      <c r="Y21" s="8">
        <v>32.499071874999998</v>
      </c>
      <c r="Z21" s="8">
        <v>40.637934375</v>
      </c>
      <c r="AA21" s="8">
        <v>39.554534375000003</v>
      </c>
      <c r="AB21" s="9">
        <v>557.04</v>
      </c>
      <c r="AC21" s="9">
        <v>476.26299999999998</v>
      </c>
      <c r="AD21" s="9">
        <v>1871.19</v>
      </c>
      <c r="AE21" s="9">
        <v>11.061999999999999</v>
      </c>
      <c r="AG21" s="4">
        <f t="shared" si="6"/>
        <v>7.5808249999999999</v>
      </c>
      <c r="AH21" s="5">
        <f t="shared" si="7"/>
        <v>1.9360223581778233E-2</v>
      </c>
      <c r="AI21" s="5">
        <f t="shared" si="8"/>
        <v>9.0234234368828572E-3</v>
      </c>
      <c r="AJ21" s="5">
        <f t="shared" si="9"/>
        <v>5.2317991814388124E-3</v>
      </c>
      <c r="AK21" s="5">
        <f t="shared" si="10"/>
        <v>1.0336800144895375E-2</v>
      </c>
      <c r="AL21" s="46">
        <f t="shared" si="11"/>
        <v>2261296</v>
      </c>
      <c r="AM21" s="5">
        <v>-12</v>
      </c>
      <c r="AN21" s="6"/>
      <c r="AO21" s="6"/>
      <c r="AP21" s="6"/>
      <c r="AQ21" s="7">
        <v>4851728</v>
      </c>
      <c r="AR21" s="7">
        <v>1311104</v>
      </c>
      <c r="AS21" s="7">
        <v>950192</v>
      </c>
      <c r="AT21" s="7">
        <v>2590432</v>
      </c>
      <c r="AU21" s="8">
        <v>68.679103124999997</v>
      </c>
      <c r="AV21" s="8">
        <v>70.755609374999906</v>
      </c>
      <c r="AW21" s="8">
        <v>32.470409375000003</v>
      </c>
      <c r="AX21" s="8">
        <v>40.652503124999903</v>
      </c>
      <c r="AY21" s="8">
        <v>39.545881250000001</v>
      </c>
      <c r="AZ21" s="9">
        <v>434.40499999999997</v>
      </c>
      <c r="BA21" s="9">
        <v>366.005</v>
      </c>
      <c r="BB21" s="9">
        <v>1641.38</v>
      </c>
      <c r="BC21" s="9">
        <v>10.765000000000001</v>
      </c>
      <c r="BE21" s="44">
        <f t="shared" si="12"/>
        <v>1.0005167848900594</v>
      </c>
      <c r="BF21" s="10" t="e">
        <f t="shared" si="13"/>
        <v>#DIV/0!</v>
      </c>
      <c r="BG21" s="10">
        <f t="shared" si="14"/>
        <v>3.6360605413621183E-4</v>
      </c>
      <c r="BH21" s="10"/>
      <c r="BJ21" s="44"/>
      <c r="BK21" s="44"/>
      <c r="BL21" s="44"/>
      <c r="BM21" s="44"/>
      <c r="BN21" s="44"/>
      <c r="BP21" s="44"/>
      <c r="BQ21" s="44"/>
      <c r="BR21" s="44"/>
      <c r="BS21" s="44"/>
      <c r="BT21" s="44"/>
      <c r="BV21" s="51">
        <f t="shared" si="15"/>
        <v>0.22015474651730577</v>
      </c>
      <c r="BW21" s="51">
        <f t="shared" si="15"/>
        <v>0.23150654155372133</v>
      </c>
      <c r="BX21" s="51">
        <f t="shared" si="15"/>
        <v>0.1228148931963082</v>
      </c>
      <c r="BY21" s="51">
        <f t="shared" si="16"/>
        <v>0.22583064403551356</v>
      </c>
      <c r="BZ21" s="55"/>
      <c r="CA21" s="51"/>
      <c r="CC21" s="57"/>
    </row>
    <row r="22" spans="1:84" outlineLevel="1" x14ac:dyDescent="0.15">
      <c r="A22" s="11"/>
      <c r="B22" s="11" t="s">
        <v>26</v>
      </c>
      <c r="C22" s="12" t="s">
        <v>146</v>
      </c>
      <c r="D22" s="11">
        <v>250602891</v>
      </c>
      <c r="E22" s="12">
        <v>10</v>
      </c>
      <c r="F22" s="12">
        <v>32</v>
      </c>
      <c r="G22" s="12">
        <v>50</v>
      </c>
      <c r="I22" s="13">
        <f t="shared" si="0"/>
        <v>12.3580875</v>
      </c>
      <c r="J22" s="14">
        <f t="shared" si="1"/>
        <v>3.1560593608634786E-2</v>
      </c>
      <c r="K22" s="14">
        <f t="shared" si="2"/>
        <v>1.1265089515667239E-2</v>
      </c>
      <c r="L22" s="14">
        <f t="shared" si="3"/>
        <v>7.4734652602231949E-3</v>
      </c>
      <c r="M22" s="14">
        <f t="shared" si="4"/>
        <v>2.0295504092967546E-2</v>
      </c>
      <c r="N22" s="11">
        <f t="shared" si="5"/>
        <v>2823064</v>
      </c>
      <c r="O22" s="14">
        <v>-12</v>
      </c>
      <c r="P22" s="15">
        <v>32774469</v>
      </c>
      <c r="Q22" s="15">
        <v>1024202.15625</v>
      </c>
      <c r="R22" s="15">
        <v>35190.1875</v>
      </c>
      <c r="S22" s="16">
        <v>7909176</v>
      </c>
      <c r="T22" s="16">
        <v>1872872</v>
      </c>
      <c r="U22" s="16">
        <v>950192</v>
      </c>
      <c r="V22" s="16">
        <v>5086112</v>
      </c>
      <c r="W22" s="17">
        <v>69.849543749999995</v>
      </c>
      <c r="X22" s="17">
        <v>72.244293749999898</v>
      </c>
      <c r="Y22" s="17">
        <v>34.215484375000003</v>
      </c>
      <c r="Z22" s="17">
        <v>41.679962499999903</v>
      </c>
      <c r="AA22" s="17">
        <v>40.578524999999999</v>
      </c>
      <c r="AB22" s="18">
        <v>586.04899999999998</v>
      </c>
      <c r="AC22" s="18">
        <v>501.37400000000002</v>
      </c>
      <c r="AD22" s="18">
        <v>1928.45</v>
      </c>
      <c r="AE22" s="18">
        <v>10.718</v>
      </c>
      <c r="AG22" s="13">
        <f t="shared" si="6"/>
        <v>12.35375</v>
      </c>
      <c r="AH22" s="14">
        <f t="shared" si="7"/>
        <v>3.1549516322219924E-2</v>
      </c>
      <c r="AI22" s="14">
        <f t="shared" si="8"/>
        <v>1.127607103303529E-2</v>
      </c>
      <c r="AJ22" s="14">
        <f t="shared" si="9"/>
        <v>7.4844467775912454E-3</v>
      </c>
      <c r="AK22" s="14">
        <f t="shared" si="10"/>
        <v>2.0273445289184632E-2</v>
      </c>
      <c r="AL22" s="11">
        <f t="shared" si="11"/>
        <v>2825816</v>
      </c>
      <c r="AM22" s="14">
        <v>-12</v>
      </c>
      <c r="AN22" s="15"/>
      <c r="AO22" s="15"/>
      <c r="AP22" s="15"/>
      <c r="AQ22" s="16">
        <v>7906400</v>
      </c>
      <c r="AR22" s="16">
        <v>1875624</v>
      </c>
      <c r="AS22" s="16">
        <v>950192</v>
      </c>
      <c r="AT22" s="16">
        <v>5080584</v>
      </c>
      <c r="AU22" s="17">
        <v>69.857365625</v>
      </c>
      <c r="AV22" s="17">
        <v>72.255618749999897</v>
      </c>
      <c r="AW22" s="17">
        <v>34.22746875</v>
      </c>
      <c r="AX22" s="17">
        <v>41.664071874999998</v>
      </c>
      <c r="AY22" s="17">
        <v>40.577934374999998</v>
      </c>
      <c r="AZ22" s="18">
        <v>472.18099999999998</v>
      </c>
      <c r="BA22" s="18">
        <v>404.69900000000001</v>
      </c>
      <c r="BB22" s="18">
        <v>1716.08</v>
      </c>
      <c r="BC22" s="18">
        <v>11.218</v>
      </c>
      <c r="BE22" s="43">
        <f t="shared" si="12"/>
        <v>1.0009748273507084</v>
      </c>
      <c r="BF22" s="19" t="e">
        <f t="shared" si="13"/>
        <v>#DIV/0!</v>
      </c>
      <c r="BG22" s="19">
        <f t="shared" si="14"/>
        <v>4.7339526899525808E-4</v>
      </c>
      <c r="BH22" s="19"/>
      <c r="BJ22" s="43"/>
      <c r="BK22" s="43"/>
      <c r="BL22" s="43"/>
      <c r="BM22" s="43"/>
      <c r="BN22" s="43"/>
      <c r="BP22" s="43"/>
      <c r="BQ22" s="43"/>
      <c r="BR22" s="43"/>
      <c r="BS22" s="43"/>
      <c r="BT22" s="43"/>
      <c r="BV22" s="51">
        <f t="shared" si="15"/>
        <v>0.19429774643417189</v>
      </c>
      <c r="BW22" s="51">
        <f t="shared" si="15"/>
        <v>0.19282013028198511</v>
      </c>
      <c r="BX22" s="51">
        <f t="shared" si="15"/>
        <v>0.11012471155591284</v>
      </c>
      <c r="BY22" s="51">
        <f t="shared" si="16"/>
        <v>0.1935589383580785</v>
      </c>
      <c r="BZ22" s="55"/>
      <c r="CA22" s="51"/>
      <c r="CC22" s="57"/>
    </row>
    <row r="23" spans="1:84" outlineLevel="1" x14ac:dyDescent="0.15">
      <c r="A23" s="46"/>
      <c r="B23" s="46" t="s">
        <v>26</v>
      </c>
      <c r="C23" s="3" t="s">
        <v>147</v>
      </c>
      <c r="D23" s="46">
        <v>250602891</v>
      </c>
      <c r="E23" s="3">
        <v>10</v>
      </c>
      <c r="F23" s="3">
        <v>32</v>
      </c>
      <c r="G23" s="3">
        <v>50</v>
      </c>
      <c r="I23" s="4">
        <f t="shared" si="0"/>
        <v>22.005125</v>
      </c>
      <c r="J23" s="5">
        <f t="shared" si="1"/>
        <v>5.619759590083899E-2</v>
      </c>
      <c r="K23" s="5">
        <f t="shared" si="2"/>
        <v>1.5193503892977835E-2</v>
      </c>
      <c r="L23" s="5">
        <f t="shared" si="3"/>
        <v>1.140187963753379E-2</v>
      </c>
      <c r="M23" s="5">
        <f t="shared" si="4"/>
        <v>4.1004092007861155E-2</v>
      </c>
      <c r="N23" s="46">
        <f t="shared" si="5"/>
        <v>3807536</v>
      </c>
      <c r="O23" s="5">
        <v>-12</v>
      </c>
      <c r="P23" s="6">
        <v>32769151</v>
      </c>
      <c r="Q23" s="6">
        <v>1024035.96875</v>
      </c>
      <c r="R23" s="6">
        <v>36890.875</v>
      </c>
      <c r="S23" s="7">
        <v>14083280</v>
      </c>
      <c r="T23" s="7">
        <v>2857344</v>
      </c>
      <c r="U23" s="7">
        <v>950192</v>
      </c>
      <c r="V23" s="7">
        <v>10275744</v>
      </c>
      <c r="W23" s="8">
        <v>70.891781249999894</v>
      </c>
      <c r="X23" s="8">
        <v>73.621353124999999</v>
      </c>
      <c r="Y23" s="8">
        <v>35.690490625000002</v>
      </c>
      <c r="Z23" s="8">
        <v>42.822521875</v>
      </c>
      <c r="AA23" s="8">
        <v>41.617903124999998</v>
      </c>
      <c r="AB23" s="9">
        <v>633.92999999999995</v>
      </c>
      <c r="AC23" s="9">
        <v>544.75</v>
      </c>
      <c r="AD23" s="9">
        <v>2017</v>
      </c>
      <c r="AE23" s="9">
        <v>10.656000000000001</v>
      </c>
      <c r="AG23" s="4">
        <f t="shared" si="6"/>
        <v>22.001037499999999</v>
      </c>
      <c r="AH23" s="5">
        <f t="shared" si="7"/>
        <v>5.6187157074736219E-2</v>
      </c>
      <c r="AI23" s="5">
        <f t="shared" si="8"/>
        <v>1.5186991597794457E-2</v>
      </c>
      <c r="AJ23" s="5">
        <f t="shared" si="9"/>
        <v>1.1395367342350412E-2</v>
      </c>
      <c r="AK23" s="5">
        <f t="shared" si="10"/>
        <v>4.1000165476941762E-2</v>
      </c>
      <c r="AL23" s="46">
        <f t="shared" si="11"/>
        <v>3805904</v>
      </c>
      <c r="AM23" s="5">
        <v>-12</v>
      </c>
      <c r="AN23" s="6"/>
      <c r="AO23" s="6"/>
      <c r="AP23" s="6"/>
      <c r="AQ23" s="7">
        <v>14080664</v>
      </c>
      <c r="AR23" s="7">
        <v>2855712</v>
      </c>
      <c r="AS23" s="7">
        <v>950192</v>
      </c>
      <c r="AT23" s="7">
        <v>10274760</v>
      </c>
      <c r="AU23" s="8">
        <v>70.881393750000001</v>
      </c>
      <c r="AV23" s="8">
        <v>73.606484374999994</v>
      </c>
      <c r="AW23" s="8">
        <v>35.684340624999997</v>
      </c>
      <c r="AX23" s="8">
        <v>42.820915624999998</v>
      </c>
      <c r="AY23" s="8">
        <v>41.632128125000001</v>
      </c>
      <c r="AZ23" s="9">
        <v>540.69600000000003</v>
      </c>
      <c r="BA23" s="9">
        <v>459.71300000000002</v>
      </c>
      <c r="BB23" s="9">
        <v>1839.84</v>
      </c>
      <c r="BC23" s="9">
        <v>10.859</v>
      </c>
      <c r="BE23" s="44">
        <f t="shared" si="12"/>
        <v>0.99957137634417648</v>
      </c>
      <c r="BF23" s="10" t="e">
        <f t="shared" si="13"/>
        <v>#DIV/0!</v>
      </c>
      <c r="BG23" s="10">
        <f t="shared" si="14"/>
        <v>-6.5674592986286751E-5</v>
      </c>
      <c r="BH23" s="10"/>
      <c r="BJ23" s="44"/>
      <c r="BK23" s="44"/>
      <c r="BL23" s="44"/>
      <c r="BM23" s="44"/>
      <c r="BN23" s="44"/>
      <c r="BP23" s="44"/>
      <c r="BQ23" s="44"/>
      <c r="BR23" s="44"/>
      <c r="BS23" s="44"/>
      <c r="BT23" s="44"/>
      <c r="BV23" s="51">
        <f t="shared" si="15"/>
        <v>0.14707302068051667</v>
      </c>
      <c r="BW23" s="51">
        <f t="shared" si="15"/>
        <v>0.15610279944928862</v>
      </c>
      <c r="BX23" s="51">
        <f t="shared" si="15"/>
        <v>8.7833415964303468E-2</v>
      </c>
      <c r="BY23" s="51">
        <f t="shared" si="16"/>
        <v>0.15158791006490263</v>
      </c>
      <c r="BZ23" s="55"/>
      <c r="CA23" s="51"/>
      <c r="CC23" s="57"/>
    </row>
    <row r="24" spans="1:84" ht="14.25" outlineLevel="1" thickBot="1" x14ac:dyDescent="0.2">
      <c r="A24" s="30"/>
      <c r="B24" s="30" t="s">
        <v>26</v>
      </c>
      <c r="C24" s="31" t="s">
        <v>148</v>
      </c>
      <c r="D24" s="30">
        <v>250602891</v>
      </c>
      <c r="E24" s="31">
        <v>10</v>
      </c>
      <c r="F24" s="31">
        <v>32</v>
      </c>
      <c r="G24" s="31">
        <v>50</v>
      </c>
      <c r="I24" s="32">
        <f t="shared" si="0"/>
        <v>38.627387499999998</v>
      </c>
      <c r="J24" s="33">
        <f t="shared" si="1"/>
        <v>9.8648215514800269E-2</v>
      </c>
      <c r="K24" s="33">
        <f t="shared" si="2"/>
        <v>2.5280761824890519E-2</v>
      </c>
      <c r="L24" s="33">
        <f t="shared" si="3"/>
        <v>1.7958835119743291E-2</v>
      </c>
      <c r="M24" s="33">
        <f t="shared" si="4"/>
        <v>7.336745368990974E-2</v>
      </c>
      <c r="N24" s="30">
        <f t="shared" si="5"/>
        <v>6335432</v>
      </c>
      <c r="O24" s="33">
        <v>-12</v>
      </c>
      <c r="P24" s="34">
        <v>31405837</v>
      </c>
      <c r="Q24" s="34">
        <v>981432.40625</v>
      </c>
      <c r="R24" s="34">
        <v>18371.09375</v>
      </c>
      <c r="S24" s="35">
        <v>24721528</v>
      </c>
      <c r="T24" s="35">
        <v>4500536</v>
      </c>
      <c r="U24" s="35">
        <v>1834896</v>
      </c>
      <c r="V24" s="35">
        <v>18386096</v>
      </c>
      <c r="W24" s="36">
        <v>71.729621874999907</v>
      </c>
      <c r="X24" s="36">
        <v>75.643156249999905</v>
      </c>
      <c r="Y24" s="36">
        <v>36.543587500000001</v>
      </c>
      <c r="Z24" s="36">
        <v>43.589959374999999</v>
      </c>
      <c r="AA24" s="36">
        <v>42.051628125000001</v>
      </c>
      <c r="AB24" s="37">
        <v>679.25900000000001</v>
      </c>
      <c r="AC24" s="37">
        <v>624.96</v>
      </c>
      <c r="AD24" s="37">
        <v>2170.64</v>
      </c>
      <c r="AE24" s="37">
        <v>11.045999999999999</v>
      </c>
      <c r="AG24" s="32">
        <f t="shared" si="6"/>
        <v>38.640437499999997</v>
      </c>
      <c r="AH24" s="33">
        <f t="shared" si="7"/>
        <v>9.8681543143091674E-2</v>
      </c>
      <c r="AI24" s="33">
        <f t="shared" si="8"/>
        <v>2.5291679496227359E-2</v>
      </c>
      <c r="AJ24" s="33">
        <f t="shared" si="9"/>
        <v>1.7969752791080131E-2</v>
      </c>
      <c r="AK24" s="33">
        <f t="shared" si="10"/>
        <v>7.3389863646864312E-2</v>
      </c>
      <c r="AL24" s="30">
        <f t="shared" si="11"/>
        <v>6338168</v>
      </c>
      <c r="AM24" s="33">
        <v>-12</v>
      </c>
      <c r="AN24" s="34"/>
      <c r="AO24" s="34"/>
      <c r="AP24" s="34"/>
      <c r="AQ24" s="35">
        <v>24729880</v>
      </c>
      <c r="AR24" s="35">
        <v>4503272</v>
      </c>
      <c r="AS24" s="35">
        <v>1834896</v>
      </c>
      <c r="AT24" s="35">
        <v>18391712</v>
      </c>
      <c r="AU24" s="36">
        <v>71.734774999999999</v>
      </c>
      <c r="AV24" s="36">
        <v>75.638690624999896</v>
      </c>
      <c r="AW24" s="36">
        <v>36.555568749999999</v>
      </c>
      <c r="AX24" s="36">
        <v>43.587071874999999</v>
      </c>
      <c r="AY24" s="36">
        <v>42.049459374999998</v>
      </c>
      <c r="AZ24" s="37">
        <v>603.4</v>
      </c>
      <c r="BA24" s="37">
        <v>546.90700000000004</v>
      </c>
      <c r="BB24" s="37">
        <v>2006.89</v>
      </c>
      <c r="BC24" s="37">
        <v>10.859</v>
      </c>
      <c r="BE24" s="38">
        <f t="shared" si="12"/>
        <v>1.0004318568962622</v>
      </c>
      <c r="BF24" s="39" t="e">
        <f t="shared" si="13"/>
        <v>#DIV/0!</v>
      </c>
      <c r="BG24" s="39">
        <f t="shared" si="14"/>
        <v>2.4084929350465245E-5</v>
      </c>
      <c r="BH24" s="39"/>
      <c r="BJ24" s="38"/>
      <c r="BK24" s="38"/>
      <c r="BL24" s="38"/>
      <c r="BM24" s="38"/>
      <c r="BN24" s="38"/>
      <c r="BP24" s="38"/>
      <c r="BQ24" s="38"/>
      <c r="BR24" s="38"/>
      <c r="BS24" s="38"/>
      <c r="BT24" s="38"/>
      <c r="BV24" s="52">
        <f t="shared" si="15"/>
        <v>0.11167905025917954</v>
      </c>
      <c r="BW24" s="52">
        <f t="shared" si="15"/>
        <v>0.12489279313876087</v>
      </c>
      <c r="BX24" s="52">
        <f t="shared" si="15"/>
        <v>7.5438580326539537E-2</v>
      </c>
      <c r="BY24" s="52">
        <f t="shared" si="16"/>
        <v>0.1182859216989702</v>
      </c>
      <c r="BZ24" s="55">
        <f>AVERAGE(BV20:BV24)</f>
        <v>0.18567316735207712</v>
      </c>
      <c r="CA24" s="51">
        <f>AVERAGE(BW20:BW24)</f>
        <v>0.19123899457695789</v>
      </c>
      <c r="CB24" s="51">
        <f>AVERAGE(BX20:BX24)</f>
        <v>0.10680198233431351</v>
      </c>
      <c r="CC24" s="58">
        <f>AVERAGE(BY20:BY24)</f>
        <v>0.18845608096451749</v>
      </c>
      <c r="CD24" s="51">
        <f>(SUM(AB20:AB24)-SUM(AZ20:AZ24))/SUM(AB20:AB24)</f>
        <v>0.18079444855816787</v>
      </c>
      <c r="CE24" s="51">
        <f>(SUM(AC20:AC24)-SUM(BA20:BA24))/SUM(AC20:AC24)</f>
        <v>0.18617715901111029</v>
      </c>
      <c r="CF24" s="51">
        <f>(SUM(AB20:AC24)-SUM(AZ20:BA24))/SUM(AB20:AC24)</f>
        <v>0.18330913003398028</v>
      </c>
    </row>
    <row r="25" spans="1:84" x14ac:dyDescent="0.15">
      <c r="A25" s="46" t="s">
        <v>149</v>
      </c>
      <c r="B25" s="46" t="s">
        <v>27</v>
      </c>
      <c r="C25" s="3" t="s">
        <v>144</v>
      </c>
      <c r="D25" s="46">
        <v>250294582</v>
      </c>
      <c r="E25" s="3">
        <v>10</v>
      </c>
      <c r="F25" s="3">
        <v>32</v>
      </c>
      <c r="G25" s="3">
        <v>30</v>
      </c>
      <c r="I25" s="4">
        <f t="shared" si="0"/>
        <v>4.3608675000000003</v>
      </c>
      <c r="J25" s="5">
        <f t="shared" si="1"/>
        <v>1.8584469399341611E-2</v>
      </c>
      <c r="K25" s="5">
        <f t="shared" si="2"/>
        <v>6.4496481989370427E-3</v>
      </c>
      <c r="L25" s="5">
        <f t="shared" si="3"/>
        <v>3.6966041877806209E-3</v>
      </c>
      <c r="M25" s="5">
        <f t="shared" si="4"/>
        <v>1.213482120040457E-2</v>
      </c>
      <c r="N25" s="46">
        <f t="shared" si="5"/>
        <v>1614312</v>
      </c>
      <c r="O25" s="5">
        <v>-12</v>
      </c>
      <c r="P25" s="6">
        <v>23148086</v>
      </c>
      <c r="Q25" s="6">
        <v>723377.6875</v>
      </c>
      <c r="R25" s="6">
        <v>13979.90625</v>
      </c>
      <c r="S25" s="7">
        <v>4651592</v>
      </c>
      <c r="T25" s="7">
        <v>925240</v>
      </c>
      <c r="U25" s="7">
        <v>689072</v>
      </c>
      <c r="V25" s="7">
        <v>3037280</v>
      </c>
      <c r="W25" s="8">
        <v>66.202731249999999</v>
      </c>
      <c r="X25" s="8">
        <v>67.991668750000002</v>
      </c>
      <c r="Y25" s="8">
        <v>27.334187499999999</v>
      </c>
      <c r="Z25" s="8">
        <v>33.179340624999902</v>
      </c>
      <c r="AA25" s="8">
        <v>32.601890624999903</v>
      </c>
      <c r="AB25" s="9">
        <v>465.16699999999997</v>
      </c>
      <c r="AC25" s="9">
        <v>439.43200000000002</v>
      </c>
      <c r="AD25" s="9">
        <v>1346.13</v>
      </c>
      <c r="AE25" s="9">
        <v>10.234</v>
      </c>
      <c r="AG25" s="4">
        <f t="shared" si="6"/>
        <v>4.3575074999999996</v>
      </c>
      <c r="AH25" s="5">
        <f t="shared" si="7"/>
        <v>1.8570150271970329E-2</v>
      </c>
      <c r="AI25" s="5">
        <f t="shared" si="8"/>
        <v>6.4451415092956349E-3</v>
      </c>
      <c r="AJ25" s="5">
        <f t="shared" si="9"/>
        <v>3.6920974981392127E-3</v>
      </c>
      <c r="AK25" s="5">
        <f t="shared" si="10"/>
        <v>1.2125008762674696E-2</v>
      </c>
      <c r="AL25" s="46">
        <f t="shared" si="11"/>
        <v>1613184</v>
      </c>
      <c r="AM25" s="5">
        <v>-12</v>
      </c>
      <c r="AN25" s="6"/>
      <c r="AO25" s="6"/>
      <c r="AP25" s="6"/>
      <c r="AQ25" s="7">
        <v>4648008</v>
      </c>
      <c r="AR25" s="7">
        <v>924112</v>
      </c>
      <c r="AS25" s="7">
        <v>689072</v>
      </c>
      <c r="AT25" s="7">
        <v>3034824</v>
      </c>
      <c r="AU25" s="8">
        <v>66.185859375000007</v>
      </c>
      <c r="AV25" s="8">
        <v>67.946943749999903</v>
      </c>
      <c r="AW25" s="8">
        <v>27.336853125000001</v>
      </c>
      <c r="AX25" s="8">
        <v>33.167956250000003</v>
      </c>
      <c r="AY25" s="8">
        <v>32.591093749999999</v>
      </c>
      <c r="AZ25" s="9">
        <v>343.923</v>
      </c>
      <c r="BA25" s="9">
        <v>351.11</v>
      </c>
      <c r="BB25" s="9">
        <v>1132.67</v>
      </c>
      <c r="BC25" s="9">
        <v>10.375</v>
      </c>
      <c r="BE25" s="44">
        <f t="shared" si="12"/>
        <v>0.99930125031592409</v>
      </c>
      <c r="BF25" s="10" t="e">
        <f t="shared" si="13"/>
        <v>#DIV/0!</v>
      </c>
      <c r="BG25" s="10">
        <f t="shared" si="14"/>
        <v>2.4915937318015224E-5</v>
      </c>
      <c r="BH25" s="10">
        <f t="array" ref="BH25">AVERAGE(AL25:AL29/AQ25:AQ29) - AVERAGE(N25:N29/S25:S29)</f>
        <v>1.7285843147418767E-6</v>
      </c>
      <c r="BJ25" s="44">
        <f>IF( OR(ISBLANK(N25:N29),ISBLANK(AL25:AL29), ISBLANK(W25:W29),ISBLANK(AU25:AU29)), "·", bdRateExtend( N25:N29,W25:W29, AL25:AL29,AU25:AU29))</f>
        <v>9.7559883090880817E-4</v>
      </c>
      <c r="BK25" s="44">
        <f>IF( OR(ISBLANK(N25:N29),ISBLANK(AL25:AL29), ISBLANK(X25:X29),ISBLANK(AV25:AV29)), "·", bdRateExtend( N25:N29,X25:X29, AL25:AL29,AV25:AV29))</f>
        <v>1.1295195340483843E-3</v>
      </c>
      <c r="BL25" s="44">
        <f>IF( OR(ISBLANK(V25:V29),ISBLANK(AT25:AT29), ISBLANK(Y25:Y29),ISBLANK(AW25:AW29)), "·", bdRateExtend( V25:V29,Y25:Y29, AT25:AT29,AW25:AW29))</f>
        <v>3.1234023439608016E-4</v>
      </c>
      <c r="BM25" s="44">
        <f>IF( OR(ISBLANK(V25:V29),ISBLANK(AT25:AT29), ISBLANK(Z25:Z29),ISBLANK(AX25:AX29)), "·", bdRateExtend( V25:V29,Z25:Z29, AT25:AT29,AX25:AX29))</f>
        <v>3.6282113640195846E-4</v>
      </c>
      <c r="BN25" s="44">
        <f>IF( OR(ISBLANK(V25:V29),ISBLANK(AT25:AT29), ISBLANK(AA25:AA29),ISBLANK(AY25:AY29)), "·", bdRateExtend( V25:V29,AA25:AA29, AT25:AT29,AY25:AY29))</f>
        <v>8.4148037376041707E-4</v>
      </c>
      <c r="BP25" s="44">
        <f>IF( OR(ISBLANK(S25:S29),ISBLANK(AQ25:AQ29), ISBLANK(W25:W29),ISBLANK(AU25:AU29)), "·", bdRateExtend( S25:S29,W25:W29, AQ25:AQ29,AU25:AU29))</f>
        <v>2.5087167988153691E-3</v>
      </c>
      <c r="BQ25" s="44">
        <f>IF( OR(ISBLANK(S25:S29),ISBLANK(AQ25:AQ29), ISBLANK(X25:X29),ISBLANK(AV25:AV29)), "·", bdRateExtend( S25:S29,X25:X29, AQ25:AQ29,AV25:AV29))</f>
        <v>2.8262889318284579E-3</v>
      </c>
      <c r="BR25" s="44">
        <f>IF( OR(ISBLANK(S25:S29),ISBLANK(AQ25:AQ29), ISBLANK(Y25:Y29),ISBLANK(AW25:AW29)), "·", bdRateExtend( S25:S29,Y25:Y29, AQ25:AQ29,AW25:AW29))</f>
        <v>2.6782475847730858E-4</v>
      </c>
      <c r="BS25" s="44">
        <f>IF( OR(ISBLANK(S25:S29),ISBLANK(AQ25:AQ29), ISBLANK(Z25:Z29),ISBLANK(AX25:AX29)), "·", bdRateExtend( S25:S29,Z25:Z29, AQ25:AQ29,AX25:AX29))</f>
        <v>2.4343704257190346E-4</v>
      </c>
      <c r="BT25" s="44">
        <f>IF( OR(ISBLANK(S25:S29),ISBLANK(AQ25:AQ29), ISBLANK(AA25:AA29),ISBLANK(AY25:AY29)), "·", bdRateExtend( S25:S29,AA25:AA29, AQ25:AQ29,AY25:AY29))</f>
        <v>7.1504057340088245E-4</v>
      </c>
      <c r="BV25" s="51">
        <f t="shared" si="15"/>
        <v>0.26064617653444888</v>
      </c>
      <c r="BW25" s="51">
        <f t="shared" si="15"/>
        <v>0.2009912796519143</v>
      </c>
      <c r="BX25" s="51">
        <f t="shared" si="15"/>
        <v>0.15857309472339226</v>
      </c>
      <c r="BY25" s="51">
        <f t="shared" si="16"/>
        <v>0.2308187280931816</v>
      </c>
      <c r="BZ25" s="55"/>
      <c r="CA25" s="51"/>
      <c r="CC25" s="57"/>
    </row>
    <row r="26" spans="1:84" outlineLevel="1" x14ac:dyDescent="0.15">
      <c r="A26" s="11"/>
      <c r="B26" s="11" t="s">
        <v>27</v>
      </c>
      <c r="C26" s="12" t="s">
        <v>145</v>
      </c>
      <c r="D26" s="11">
        <v>250294582</v>
      </c>
      <c r="E26" s="12">
        <v>10</v>
      </c>
      <c r="F26" s="12">
        <v>32</v>
      </c>
      <c r="G26" s="12">
        <v>30</v>
      </c>
      <c r="I26" s="13">
        <f t="shared" si="0"/>
        <v>7.4916749999999999</v>
      </c>
      <c r="J26" s="14">
        <f t="shared" si="1"/>
        <v>3.192685968727841E-2</v>
      </c>
      <c r="K26" s="14">
        <f t="shared" si="2"/>
        <v>7.9828495848144245E-3</v>
      </c>
      <c r="L26" s="14">
        <f t="shared" si="3"/>
        <v>5.2298055736580027E-3</v>
      </c>
      <c r="M26" s="14">
        <f t="shared" si="4"/>
        <v>2.3944010102463983E-2</v>
      </c>
      <c r="N26" s="11">
        <f t="shared" si="5"/>
        <v>1998064</v>
      </c>
      <c r="O26" s="14">
        <v>-12</v>
      </c>
      <c r="P26" s="15">
        <v>24596617</v>
      </c>
      <c r="Q26" s="15">
        <v>768644.28125</v>
      </c>
      <c r="R26" s="15">
        <v>17690.84375</v>
      </c>
      <c r="S26" s="16">
        <v>7991120</v>
      </c>
      <c r="T26" s="16">
        <v>1308992</v>
      </c>
      <c r="U26" s="16">
        <v>689072</v>
      </c>
      <c r="V26" s="16">
        <v>5993056</v>
      </c>
      <c r="W26" s="17">
        <v>67.955109375000006</v>
      </c>
      <c r="X26" s="17">
        <v>69.951062499999907</v>
      </c>
      <c r="Y26" s="17">
        <v>29.714649999999999</v>
      </c>
      <c r="Z26" s="17">
        <v>34.343318750000002</v>
      </c>
      <c r="AA26" s="17">
        <v>33.888874999999999</v>
      </c>
      <c r="AB26" s="18">
        <v>497.53</v>
      </c>
      <c r="AC26" s="18">
        <v>454.13099999999997</v>
      </c>
      <c r="AD26" s="18">
        <v>1392.09</v>
      </c>
      <c r="AE26" s="18">
        <v>10.343</v>
      </c>
      <c r="AG26" s="13">
        <f t="shared" si="6"/>
        <v>7.4888174999999997</v>
      </c>
      <c r="AH26" s="14">
        <f t="shared" si="7"/>
        <v>3.1914682036545239E-2</v>
      </c>
      <c r="AI26" s="14">
        <f t="shared" si="8"/>
        <v>7.980548296486898E-3</v>
      </c>
      <c r="AJ26" s="14">
        <f t="shared" si="9"/>
        <v>5.2275042853304754E-3</v>
      </c>
      <c r="AK26" s="14">
        <f t="shared" si="10"/>
        <v>2.3934133740058344E-2</v>
      </c>
      <c r="AL26" s="11">
        <f t="shared" si="11"/>
        <v>1997488</v>
      </c>
      <c r="AM26" s="14">
        <v>-12</v>
      </c>
      <c r="AN26" s="15"/>
      <c r="AO26" s="15"/>
      <c r="AP26" s="15"/>
      <c r="AQ26" s="16">
        <v>7988072</v>
      </c>
      <c r="AR26" s="16">
        <v>1308416</v>
      </c>
      <c r="AS26" s="16">
        <v>689072</v>
      </c>
      <c r="AT26" s="16">
        <v>5990584</v>
      </c>
      <c r="AU26" s="17">
        <v>67.948562499999994</v>
      </c>
      <c r="AV26" s="17">
        <v>69.933609375000003</v>
      </c>
      <c r="AW26" s="17">
        <v>29.709949999999999</v>
      </c>
      <c r="AX26" s="17">
        <v>34.340321874999901</v>
      </c>
      <c r="AY26" s="17">
        <v>33.890478124999902</v>
      </c>
      <c r="AZ26" s="18">
        <v>386.05900000000003</v>
      </c>
      <c r="BA26" s="18">
        <v>369.27699999999999</v>
      </c>
      <c r="BB26" s="18">
        <v>1195.77</v>
      </c>
      <c r="BC26" s="18">
        <v>10.327999999999999</v>
      </c>
      <c r="BE26" s="43">
        <f t="shared" si="12"/>
        <v>0.99971172094587579</v>
      </c>
      <c r="BF26" s="19" t="e">
        <f t="shared" si="13"/>
        <v>#DIV/0!</v>
      </c>
      <c r="BG26" s="19">
        <f t="shared" si="14"/>
        <v>2.3298278262862127E-5</v>
      </c>
      <c r="BH26" s="19"/>
      <c r="BJ26" s="43"/>
      <c r="BK26" s="43"/>
      <c r="BL26" s="43"/>
      <c r="BM26" s="43"/>
      <c r="BN26" s="43"/>
      <c r="BP26" s="43"/>
      <c r="BQ26" s="43"/>
      <c r="BR26" s="43"/>
      <c r="BS26" s="43"/>
      <c r="BT26" s="43"/>
      <c r="BV26" s="51">
        <f t="shared" si="15"/>
        <v>0.22404880107732186</v>
      </c>
      <c r="BW26" s="51">
        <f t="shared" si="15"/>
        <v>0.18684916907236016</v>
      </c>
      <c r="BX26" s="51">
        <f t="shared" si="15"/>
        <v>0.14102536473934871</v>
      </c>
      <c r="BY26" s="51">
        <f t="shared" si="16"/>
        <v>0.205448985074841</v>
      </c>
      <c r="BZ26" s="55"/>
      <c r="CA26" s="51"/>
      <c r="CC26" s="57"/>
    </row>
    <row r="27" spans="1:84" outlineLevel="1" x14ac:dyDescent="0.15">
      <c r="A27" s="46"/>
      <c r="B27" s="46" t="s">
        <v>27</v>
      </c>
      <c r="C27" s="3" t="s">
        <v>146</v>
      </c>
      <c r="D27" s="46">
        <v>250294582</v>
      </c>
      <c r="E27" s="3">
        <v>10</v>
      </c>
      <c r="F27" s="3">
        <v>32</v>
      </c>
      <c r="G27" s="3">
        <v>30</v>
      </c>
      <c r="I27" s="4">
        <f t="shared" si="0"/>
        <v>13.183875</v>
      </c>
      <c r="J27" s="5">
        <f t="shared" si="1"/>
        <v>5.6184995646449909E-2</v>
      </c>
      <c r="K27" s="5">
        <f t="shared" si="2"/>
        <v>1.028832497860461E-2</v>
      </c>
      <c r="L27" s="5">
        <f t="shared" si="3"/>
        <v>7.5352809674481885E-3</v>
      </c>
      <c r="M27" s="5">
        <f t="shared" si="4"/>
        <v>4.58966706678453E-2</v>
      </c>
      <c r="N27" s="46">
        <f t="shared" si="5"/>
        <v>2575112</v>
      </c>
      <c r="O27" s="5">
        <v>-12</v>
      </c>
      <c r="P27" s="6">
        <v>24867879</v>
      </c>
      <c r="Q27" s="6">
        <v>777121.21875</v>
      </c>
      <c r="R27" s="6">
        <v>18587.625</v>
      </c>
      <c r="S27" s="7">
        <v>14062800</v>
      </c>
      <c r="T27" s="7">
        <v>1886040</v>
      </c>
      <c r="U27" s="7">
        <v>689072</v>
      </c>
      <c r="V27" s="7">
        <v>11487688</v>
      </c>
      <c r="W27" s="8">
        <v>69.271965624999893</v>
      </c>
      <c r="X27" s="8">
        <v>71.647043749999995</v>
      </c>
      <c r="Y27" s="8">
        <v>32.215471874999999</v>
      </c>
      <c r="Z27" s="8">
        <v>35.579521874999998</v>
      </c>
      <c r="AA27" s="8">
        <v>35.207475000000002</v>
      </c>
      <c r="AB27" s="9">
        <v>528.10500000000002</v>
      </c>
      <c r="AC27" s="9">
        <v>490.21199999999999</v>
      </c>
      <c r="AD27" s="9">
        <v>1456.08</v>
      </c>
      <c r="AE27" s="9">
        <v>10.327999999999999</v>
      </c>
      <c r="AG27" s="4">
        <f t="shared" si="6"/>
        <v>13.1892075</v>
      </c>
      <c r="AH27" s="5">
        <f t="shared" si="7"/>
        <v>5.6207720868684245E-2</v>
      </c>
      <c r="AI27" s="5">
        <f t="shared" si="8"/>
        <v>1.0291073739662491E-2</v>
      </c>
      <c r="AJ27" s="5">
        <f t="shared" si="9"/>
        <v>7.5380297285060687E-3</v>
      </c>
      <c r="AK27" s="5">
        <f t="shared" si="10"/>
        <v>4.5916647129021756E-2</v>
      </c>
      <c r="AL27" s="46">
        <f t="shared" si="11"/>
        <v>2575800</v>
      </c>
      <c r="AM27" s="5">
        <v>-12</v>
      </c>
      <c r="AN27" s="6"/>
      <c r="AO27" s="6"/>
      <c r="AP27" s="6"/>
      <c r="AQ27" s="7">
        <v>14068488</v>
      </c>
      <c r="AR27" s="7">
        <v>1886728</v>
      </c>
      <c r="AS27" s="7">
        <v>689072</v>
      </c>
      <c r="AT27" s="7">
        <v>11492688</v>
      </c>
      <c r="AU27" s="8">
        <v>69.2624</v>
      </c>
      <c r="AV27" s="8">
        <v>71.645171875000003</v>
      </c>
      <c r="AW27" s="8">
        <v>32.214575000000004</v>
      </c>
      <c r="AX27" s="8">
        <v>35.582303124999903</v>
      </c>
      <c r="AY27" s="8">
        <v>35.2019375</v>
      </c>
      <c r="AZ27" s="9">
        <v>412.18599999999998</v>
      </c>
      <c r="BA27" s="9">
        <v>415.68</v>
      </c>
      <c r="BB27" s="9">
        <v>1269.06</v>
      </c>
      <c r="BC27" s="9">
        <v>10.545999999999999</v>
      </c>
      <c r="BE27" s="44">
        <f t="shared" si="12"/>
        <v>1.0002671728452976</v>
      </c>
      <c r="BF27" s="10" t="e">
        <f t="shared" si="13"/>
        <v>#DIV/0!</v>
      </c>
      <c r="BG27" s="10">
        <f t="shared" si="14"/>
        <v>-2.5131277919338002E-5</v>
      </c>
      <c r="BH27" s="10"/>
      <c r="BJ27" s="44"/>
      <c r="BK27" s="44"/>
      <c r="BL27" s="44"/>
      <c r="BM27" s="44"/>
      <c r="BN27" s="44"/>
      <c r="BP27" s="44"/>
      <c r="BQ27" s="44"/>
      <c r="BR27" s="44"/>
      <c r="BS27" s="44"/>
      <c r="BT27" s="44"/>
      <c r="BV27" s="51">
        <f t="shared" si="15"/>
        <v>0.2194999100557655</v>
      </c>
      <c r="BW27" s="51">
        <f t="shared" si="15"/>
        <v>0.15204034172970057</v>
      </c>
      <c r="BX27" s="51">
        <f t="shared" si="15"/>
        <v>0.1284407450140102</v>
      </c>
      <c r="BY27" s="51">
        <f t="shared" si="16"/>
        <v>0.18577012589273303</v>
      </c>
      <c r="BZ27" s="55"/>
      <c r="CA27" s="51"/>
      <c r="CC27" s="57"/>
    </row>
    <row r="28" spans="1:84" outlineLevel="1" x14ac:dyDescent="0.15">
      <c r="A28" s="11"/>
      <c r="B28" s="11" t="s">
        <v>27</v>
      </c>
      <c r="C28" s="12" t="s">
        <v>147</v>
      </c>
      <c r="D28" s="11">
        <v>250294582</v>
      </c>
      <c r="E28" s="12">
        <v>10</v>
      </c>
      <c r="F28" s="12">
        <v>32</v>
      </c>
      <c r="G28" s="12">
        <v>30</v>
      </c>
      <c r="I28" s="13">
        <f t="shared" si="0"/>
        <v>24.458400000000001</v>
      </c>
      <c r="J28" s="14">
        <f t="shared" si="1"/>
        <v>0.10423301931481681</v>
      </c>
      <c r="K28" s="14">
        <f t="shared" si="2"/>
        <v>1.4138636049261346E-2</v>
      </c>
      <c r="L28" s="14">
        <f t="shared" si="3"/>
        <v>1.1385592038104924E-2</v>
      </c>
      <c r="M28" s="14">
        <f t="shared" si="4"/>
        <v>9.0094383265555467E-2</v>
      </c>
      <c r="N28" s="11">
        <f t="shared" si="5"/>
        <v>3538824</v>
      </c>
      <c r="O28" s="14">
        <v>-12</v>
      </c>
      <c r="P28" s="15">
        <v>25503045</v>
      </c>
      <c r="Q28" s="15">
        <v>796970.15625</v>
      </c>
      <c r="R28" s="15">
        <v>20905.71875</v>
      </c>
      <c r="S28" s="16">
        <v>26088960</v>
      </c>
      <c r="T28" s="16">
        <v>2849752</v>
      </c>
      <c r="U28" s="16">
        <v>689072</v>
      </c>
      <c r="V28" s="16">
        <v>22550136</v>
      </c>
      <c r="W28" s="17">
        <v>70.438771874999901</v>
      </c>
      <c r="X28" s="17">
        <v>72.973003124999906</v>
      </c>
      <c r="Y28" s="17">
        <v>34.905471874999897</v>
      </c>
      <c r="Z28" s="17">
        <v>37.372971874999998</v>
      </c>
      <c r="AA28" s="17">
        <v>36.936059374999999</v>
      </c>
      <c r="AB28" s="18">
        <v>556.94299999999998</v>
      </c>
      <c r="AC28" s="18">
        <v>582.54499999999996</v>
      </c>
      <c r="AD28" s="18">
        <v>1578.13</v>
      </c>
      <c r="AE28" s="18">
        <v>10.359</v>
      </c>
      <c r="AG28" s="13">
        <f t="shared" si="6"/>
        <v>24.4502475</v>
      </c>
      <c r="AH28" s="14">
        <f t="shared" si="7"/>
        <v>0.10419827625353872</v>
      </c>
      <c r="AI28" s="14">
        <f t="shared" si="8"/>
        <v>1.4140521827196403E-2</v>
      </c>
      <c r="AJ28" s="14">
        <f t="shared" si="9"/>
        <v>1.138747781603998E-2</v>
      </c>
      <c r="AK28" s="14">
        <f t="shared" si="10"/>
        <v>9.0057754426342312E-2</v>
      </c>
      <c r="AL28" s="11">
        <f t="shared" si="11"/>
        <v>3539296</v>
      </c>
      <c r="AM28" s="14">
        <v>-12</v>
      </c>
      <c r="AN28" s="15"/>
      <c r="AO28" s="15"/>
      <c r="AP28" s="15"/>
      <c r="AQ28" s="16">
        <v>26080264</v>
      </c>
      <c r="AR28" s="16">
        <v>2850224</v>
      </c>
      <c r="AS28" s="16">
        <v>689072</v>
      </c>
      <c r="AT28" s="16">
        <v>22540968</v>
      </c>
      <c r="AU28" s="17">
        <v>70.435331250000004</v>
      </c>
      <c r="AV28" s="17">
        <v>72.973390624999993</v>
      </c>
      <c r="AW28" s="17">
        <v>34.902193749999903</v>
      </c>
      <c r="AX28" s="17">
        <v>37.373853124999997</v>
      </c>
      <c r="AY28" s="17">
        <v>36.934162499999999</v>
      </c>
      <c r="AZ28" s="18">
        <v>458.00299999999999</v>
      </c>
      <c r="BA28" s="18">
        <v>506.976</v>
      </c>
      <c r="BB28" s="18">
        <v>1405.55</v>
      </c>
      <c r="BC28" s="18">
        <v>10.39</v>
      </c>
      <c r="BE28" s="43">
        <f t="shared" si="12"/>
        <v>1.000133377641838</v>
      </c>
      <c r="BF28" s="19" t="e">
        <f t="shared" si="13"/>
        <v>#DIV/0!</v>
      </c>
      <c r="BG28" s="19">
        <f t="shared" si="14"/>
        <v>6.3326222225323914E-5</v>
      </c>
      <c r="BH28" s="19"/>
      <c r="BJ28" s="43"/>
      <c r="BK28" s="43"/>
      <c r="BL28" s="43"/>
      <c r="BM28" s="43"/>
      <c r="BN28" s="43"/>
      <c r="BP28" s="43"/>
      <c r="BQ28" s="43"/>
      <c r="BR28" s="43"/>
      <c r="BS28" s="43"/>
      <c r="BT28" s="43"/>
      <c r="BV28" s="51">
        <f t="shared" si="15"/>
        <v>0.17764834103310392</v>
      </c>
      <c r="BW28" s="51">
        <f t="shared" si="15"/>
        <v>0.12972216738621045</v>
      </c>
      <c r="BX28" s="51">
        <f t="shared" si="15"/>
        <v>0.10935727728387404</v>
      </c>
      <c r="BY28" s="51">
        <f t="shared" si="16"/>
        <v>0.15368525420965717</v>
      </c>
      <c r="BZ28" s="55"/>
      <c r="CA28" s="51"/>
      <c r="CC28" s="57"/>
    </row>
    <row r="29" spans="1:84" ht="14.25" outlineLevel="1" thickBot="1" x14ac:dyDescent="0.2">
      <c r="A29" s="20"/>
      <c r="B29" s="20" t="s">
        <v>27</v>
      </c>
      <c r="C29" s="21" t="s">
        <v>148</v>
      </c>
      <c r="D29" s="20">
        <v>250294582</v>
      </c>
      <c r="E29" s="21">
        <v>10</v>
      </c>
      <c r="F29" s="21">
        <v>32</v>
      </c>
      <c r="G29" s="21">
        <v>30</v>
      </c>
      <c r="I29" s="22">
        <f t="shared" si="0"/>
        <v>44.156122500000002</v>
      </c>
      <c r="J29" s="23">
        <f t="shared" si="1"/>
        <v>0.18817772092246088</v>
      </c>
      <c r="K29" s="23">
        <f t="shared" si="2"/>
        <v>2.2856395669004135E-2</v>
      </c>
      <c r="L29" s="23">
        <f t="shared" si="3"/>
        <v>1.7621859669339546E-2</v>
      </c>
      <c r="M29" s="23">
        <f t="shared" si="4"/>
        <v>0.16532132525345675</v>
      </c>
      <c r="N29" s="20">
        <f t="shared" si="5"/>
        <v>5720832</v>
      </c>
      <c r="O29" s="23">
        <v>-12</v>
      </c>
      <c r="P29" s="24">
        <v>24554524</v>
      </c>
      <c r="Q29" s="24">
        <v>767328.875</v>
      </c>
      <c r="R29" s="24">
        <v>9745.3125</v>
      </c>
      <c r="S29" s="25">
        <v>47099864</v>
      </c>
      <c r="T29" s="25">
        <v>4410656</v>
      </c>
      <c r="U29" s="25">
        <v>1310176</v>
      </c>
      <c r="V29" s="25">
        <v>41379032</v>
      </c>
      <c r="W29" s="26">
        <v>71.141515624999997</v>
      </c>
      <c r="X29" s="26">
        <v>74.899956249999903</v>
      </c>
      <c r="Y29" s="26">
        <v>37.334449999999997</v>
      </c>
      <c r="Z29" s="26">
        <v>39.404759374999998</v>
      </c>
      <c r="AA29" s="26">
        <v>38.75755625</v>
      </c>
      <c r="AB29" s="27">
        <v>596.798</v>
      </c>
      <c r="AC29" s="27">
        <v>691.16800000000001</v>
      </c>
      <c r="AD29" s="27">
        <v>1743.5</v>
      </c>
      <c r="AE29" s="27">
        <v>10.561999999999999</v>
      </c>
      <c r="AG29" s="22">
        <f t="shared" si="6"/>
        <v>44.161365000000004</v>
      </c>
      <c r="AH29" s="23">
        <f t="shared" si="7"/>
        <v>0.18820006259664063</v>
      </c>
      <c r="AI29" s="23">
        <f t="shared" si="8"/>
        <v>2.2844473716974026E-2</v>
      </c>
      <c r="AJ29" s="23">
        <f t="shared" si="9"/>
        <v>1.7609937717309437E-2</v>
      </c>
      <c r="AK29" s="23">
        <f t="shared" si="10"/>
        <v>0.16535558887966659</v>
      </c>
      <c r="AL29" s="20">
        <f t="shared" si="11"/>
        <v>5717848</v>
      </c>
      <c r="AM29" s="23">
        <v>-12</v>
      </c>
      <c r="AN29" s="24"/>
      <c r="AO29" s="24"/>
      <c r="AP29" s="24"/>
      <c r="AQ29" s="25">
        <v>47105456</v>
      </c>
      <c r="AR29" s="25">
        <v>4407672</v>
      </c>
      <c r="AS29" s="25">
        <v>1310176</v>
      </c>
      <c r="AT29" s="25">
        <v>41387608</v>
      </c>
      <c r="AU29" s="26">
        <v>71.147450000000006</v>
      </c>
      <c r="AV29" s="26">
        <v>74.896334374999995</v>
      </c>
      <c r="AW29" s="26">
        <v>37.338581249999997</v>
      </c>
      <c r="AX29" s="26">
        <v>39.402374999999999</v>
      </c>
      <c r="AY29" s="26">
        <v>38.758025000000004</v>
      </c>
      <c r="AZ29" s="27">
        <v>531.35599999999999</v>
      </c>
      <c r="BA29" s="27">
        <v>624.36800000000005</v>
      </c>
      <c r="BB29" s="27">
        <v>1611.77</v>
      </c>
      <c r="BC29" s="27">
        <v>10.234</v>
      </c>
      <c r="BE29" s="28">
        <f t="shared" si="12"/>
        <v>0.99947839754776924</v>
      </c>
      <c r="BF29" s="29" t="e">
        <f t="shared" si="13"/>
        <v>#DIV/0!</v>
      </c>
      <c r="BG29" s="29">
        <f t="shared" si="14"/>
        <v>-7.7766238312945712E-5</v>
      </c>
      <c r="BH29" s="29"/>
      <c r="BJ29" s="28"/>
      <c r="BK29" s="28"/>
      <c r="BL29" s="28"/>
      <c r="BM29" s="28"/>
      <c r="BN29" s="28"/>
      <c r="BP29" s="28"/>
      <c r="BQ29" s="28"/>
      <c r="BR29" s="28"/>
      <c r="BS29" s="28"/>
      <c r="BT29" s="28"/>
      <c r="BV29" s="51">
        <f t="shared" si="15"/>
        <v>0.10965519321445448</v>
      </c>
      <c r="BW29" s="51">
        <f t="shared" si="15"/>
        <v>9.6647992962637097E-2</v>
      </c>
      <c r="BX29" s="51">
        <f t="shared" si="15"/>
        <v>7.5554918267852031E-2</v>
      </c>
      <c r="BY29" s="51">
        <f t="shared" si="16"/>
        <v>0.1031515930885458</v>
      </c>
      <c r="BZ29" s="55">
        <f t="shared" ref="BZ29:CA29" si="21">AVERAGE(BV25:BV29)</f>
        <v>0.19829968438301893</v>
      </c>
      <c r="CA29" s="51">
        <f t="shared" si="21"/>
        <v>0.15325019016056451</v>
      </c>
      <c r="CB29" s="51">
        <f>AVERAGE(BX25:BX29)</f>
        <v>0.12259028000569545</v>
      </c>
      <c r="CC29" s="58">
        <f>AVERAGE(BY25:BY29)</f>
        <v>0.17577493727179172</v>
      </c>
      <c r="CD29" s="51">
        <f>(SUM(AB25:AB29)-SUM(AZ25:AZ29))/SUM(AB25:AB29)</f>
        <v>0.1939904172478949</v>
      </c>
      <c r="CE29" s="51">
        <f>(SUM(AC25:AC29)-SUM(BA25:BA29))/SUM(AC25:AC29)</f>
        <v>0.146784105892482</v>
      </c>
      <c r="CF29" s="51">
        <f>(SUM(AB25:AC29)-SUM(AZ25:BA29))/SUM(AB25:AC29)</f>
        <v>0.1703296340590989</v>
      </c>
    </row>
    <row r="30" spans="1:84" x14ac:dyDescent="0.15">
      <c r="A30" s="11" t="s">
        <v>150</v>
      </c>
      <c r="B30" s="11" t="s">
        <v>28</v>
      </c>
      <c r="C30" s="12" t="s">
        <v>144</v>
      </c>
      <c r="D30" s="11">
        <v>375422539</v>
      </c>
      <c r="E30" s="12">
        <v>11</v>
      </c>
      <c r="F30" s="12">
        <v>32</v>
      </c>
      <c r="G30" s="12">
        <v>30</v>
      </c>
      <c r="I30" s="13" t="str">
        <f t="shared" si="0"/>
        <v>·</v>
      </c>
      <c r="J30" s="14" t="str">
        <f t="shared" si="1"/>
        <v>·</v>
      </c>
      <c r="K30" s="14" t="str">
        <f t="shared" si="2"/>
        <v>·</v>
      </c>
      <c r="L30" s="14" t="str">
        <f t="shared" si="3"/>
        <v>·</v>
      </c>
      <c r="M30" s="14" t="str">
        <f t="shared" si="4"/>
        <v>·</v>
      </c>
      <c r="N30" s="11" t="str">
        <f t="shared" si="5"/>
        <v/>
      </c>
      <c r="O30" s="14">
        <v>-12</v>
      </c>
      <c r="P30" s="15">
        <v>84256321</v>
      </c>
      <c r="Q30" s="15">
        <v>2633010.03125</v>
      </c>
      <c r="R30" s="15">
        <v>31474.3125</v>
      </c>
      <c r="S30" s="16"/>
      <c r="T30" s="16"/>
      <c r="U30" s="16"/>
      <c r="V30" s="16"/>
      <c r="W30" s="17"/>
      <c r="X30" s="17"/>
      <c r="Y30" s="17"/>
      <c r="Z30" s="17"/>
      <c r="AA30" s="17"/>
      <c r="AB30" s="18"/>
      <c r="AC30" s="18"/>
      <c r="AD30" s="18"/>
      <c r="AE30" s="18"/>
      <c r="AG30" s="13" t="str">
        <f t="shared" si="6"/>
        <v>·</v>
      </c>
      <c r="AH30" s="14" t="str">
        <f t="shared" si="7"/>
        <v>·</v>
      </c>
      <c r="AI30" s="14" t="str">
        <f t="shared" si="8"/>
        <v>·</v>
      </c>
      <c r="AJ30" s="14" t="str">
        <f t="shared" si="9"/>
        <v>·</v>
      </c>
      <c r="AK30" s="14" t="str">
        <f t="shared" si="10"/>
        <v>·</v>
      </c>
      <c r="AL30" s="11" t="str">
        <f t="shared" si="11"/>
        <v/>
      </c>
      <c r="AM30" s="14">
        <v>-12</v>
      </c>
      <c r="AN30" s="15"/>
      <c r="AO30" s="15"/>
      <c r="AP30" s="15"/>
      <c r="AQ30" s="16"/>
      <c r="AR30" s="16"/>
      <c r="AS30" s="16"/>
      <c r="AT30" s="16"/>
      <c r="AU30" s="17"/>
      <c r="AV30" s="17"/>
      <c r="AW30" s="17"/>
      <c r="AX30" s="17"/>
      <c r="AY30" s="17"/>
      <c r="AZ30" s="18"/>
      <c r="BA30" s="18"/>
      <c r="BB30" s="18"/>
      <c r="BC30" s="18"/>
      <c r="BE30" s="43" t="e">
        <f t="shared" si="12"/>
        <v>#VALUE!</v>
      </c>
      <c r="BF30" s="19" t="e">
        <f t="shared" si="13"/>
        <v>#DIV/0!</v>
      </c>
      <c r="BG30" s="19" t="e">
        <f t="shared" si="14"/>
        <v>#VALUE!</v>
      </c>
      <c r="BH30" s="19" t="e">
        <f t="array" ref="BH30">AVERAGE(AL30:AL34/AQ30:AQ34) - AVERAGE(N30:N34/S30:S34)</f>
        <v>#VALUE!</v>
      </c>
      <c r="BJ30" s="43" t="str">
        <f>IF( OR(ISBLANK(N30:N34),ISBLANK(AL30:AL34), ISBLANK(W30:W34),ISBLANK(AU30:AU34)), "·", bdRateExtend( N30:N34,W30:W34, AL30:AL34,AU30:AU34))</f>
        <v>·</v>
      </c>
      <c r="BK30" s="43" t="str">
        <f>IF( OR(ISBLANK(N30:N34),ISBLANK(AL30:AL34), ISBLANK(X30:X34),ISBLANK(AV30:AV34)), "·", bdRateExtend( N30:N34,X30:X34, AL30:AL34,AV30:AV34))</f>
        <v>·</v>
      </c>
      <c r="BL30" s="43" t="str">
        <f>IF( OR(ISBLANK(V30:V34),ISBLANK(AT30:AT34), ISBLANK(Y30:Y34),ISBLANK(AW30:AW34)), "·", bdRateExtend( V30:V34,Y30:Y34, AT30:AT34,AW30:AW34))</f>
        <v>·</v>
      </c>
      <c r="BM30" s="43" t="str">
        <f>IF( OR(ISBLANK(V30:V34),ISBLANK(AT30:AT34), ISBLANK(Z30:Z34),ISBLANK(AX30:AX34)), "·", bdRateExtend( V30:V34,Z30:Z34, AT30:AT34,AX30:AX34))</f>
        <v>·</v>
      </c>
      <c r="BN30" s="43" t="str">
        <f>IF( OR(ISBLANK(V30:V34),ISBLANK(AT30:AT34), ISBLANK(AA30:AA34),ISBLANK(AY30:AY34)), "·", bdRateExtend( V30:V34,AA30:AA34, AT30:AT34,AY30:AY34))</f>
        <v>·</v>
      </c>
      <c r="BP30" s="43" t="str">
        <f>IF( OR(ISBLANK(S30:S34),ISBLANK(AQ30:AQ34), ISBLANK(W30:W34),ISBLANK(AU30:AU34)), "·", bdRateExtend( S30:S34,W30:W34, AQ30:AQ34,AU30:AU34))</f>
        <v>·</v>
      </c>
      <c r="BQ30" s="43" t="str">
        <f>IF( OR(ISBLANK(S30:S34),ISBLANK(AQ30:AQ34), ISBLANK(X30:X34),ISBLANK(AV30:AV34)), "·", bdRateExtend( S30:S34,X30:X34, AQ30:AQ34,AV30:AV34))</f>
        <v>·</v>
      </c>
      <c r="BR30" s="43" t="str">
        <f>IF( OR(ISBLANK(S30:S34),ISBLANK(AQ30:AQ34), ISBLANK(Y30:Y34),ISBLANK(AW30:AW34)), "·", bdRateExtend( S30:S34,Y30:Y34, AQ30:AQ34,AW30:AW34))</f>
        <v>·</v>
      </c>
      <c r="BS30" s="43" t="str">
        <f>IF( OR(ISBLANK(S30:S34),ISBLANK(AQ30:AQ34), ISBLANK(Z30:Z34),ISBLANK(AX30:AX34)), "·", bdRateExtend( S30:S34,Z30:Z34, AQ30:AQ34,AX30:AX34))</f>
        <v>·</v>
      </c>
      <c r="BT30" s="43" t="str">
        <f>IF( OR(ISBLANK(S30:S34),ISBLANK(AQ30:AQ34), ISBLANK(AA30:AA34),ISBLANK(AY30:AY34)), "·", bdRateExtend( S30:S34,AA30:AA34, AQ30:AQ34,AY30:AY34))</f>
        <v>·</v>
      </c>
      <c r="BV30" s="51" t="e">
        <f t="shared" si="15"/>
        <v>#DIV/0!</v>
      </c>
      <c r="BW30" s="51" t="e">
        <f t="shared" si="15"/>
        <v>#DIV/0!</v>
      </c>
      <c r="BX30" s="51" t="e">
        <f t="shared" si="15"/>
        <v>#DIV/0!</v>
      </c>
      <c r="BY30" s="51" t="e">
        <f t="shared" si="16"/>
        <v>#DIV/0!</v>
      </c>
      <c r="BZ30" s="55"/>
      <c r="CA30" s="51"/>
      <c r="CC30" s="57"/>
    </row>
    <row r="31" spans="1:84" outlineLevel="1" x14ac:dyDescent="0.15">
      <c r="A31" s="46"/>
      <c r="B31" s="46" t="s">
        <v>28</v>
      </c>
      <c r="C31" s="3" t="s">
        <v>145</v>
      </c>
      <c r="D31" s="46">
        <v>375422539</v>
      </c>
      <c r="E31" s="3">
        <v>11</v>
      </c>
      <c r="F31" s="3">
        <v>32</v>
      </c>
      <c r="G31" s="3">
        <v>30</v>
      </c>
      <c r="I31" s="4" t="str">
        <f t="shared" si="0"/>
        <v>·</v>
      </c>
      <c r="J31" s="5" t="str">
        <f t="shared" si="1"/>
        <v>·</v>
      </c>
      <c r="K31" s="5" t="str">
        <f t="shared" si="2"/>
        <v>·</v>
      </c>
      <c r="L31" s="5" t="str">
        <f t="shared" si="3"/>
        <v>·</v>
      </c>
      <c r="M31" s="5" t="str">
        <f t="shared" si="4"/>
        <v>·</v>
      </c>
      <c r="N31" s="46" t="str">
        <f t="shared" si="5"/>
        <v/>
      </c>
      <c r="O31" s="5">
        <v>-12</v>
      </c>
      <c r="P31" s="6">
        <v>89796795</v>
      </c>
      <c r="Q31" s="6">
        <v>2806149.84375</v>
      </c>
      <c r="R31" s="6">
        <v>39729</v>
      </c>
      <c r="S31" s="7"/>
      <c r="T31" s="7"/>
      <c r="U31" s="7"/>
      <c r="V31" s="7"/>
      <c r="W31" s="8"/>
      <c r="X31" s="8"/>
      <c r="Y31" s="8"/>
      <c r="Z31" s="8"/>
      <c r="AA31" s="8"/>
      <c r="AB31" s="9"/>
      <c r="AC31" s="9"/>
      <c r="AD31" s="9"/>
      <c r="AE31" s="9"/>
      <c r="AG31" s="4" t="str">
        <f t="shared" si="6"/>
        <v>·</v>
      </c>
      <c r="AH31" s="5" t="str">
        <f t="shared" si="7"/>
        <v>·</v>
      </c>
      <c r="AI31" s="5" t="str">
        <f t="shared" si="8"/>
        <v>·</v>
      </c>
      <c r="AJ31" s="5" t="str">
        <f t="shared" si="9"/>
        <v>·</v>
      </c>
      <c r="AK31" s="5" t="str">
        <f t="shared" si="10"/>
        <v>·</v>
      </c>
      <c r="AL31" s="46" t="str">
        <f t="shared" si="11"/>
        <v/>
      </c>
      <c r="AM31" s="5">
        <v>-12</v>
      </c>
      <c r="AN31" s="6"/>
      <c r="AO31" s="6"/>
      <c r="AP31" s="6"/>
      <c r="AQ31" s="7"/>
      <c r="AR31" s="7"/>
      <c r="AS31" s="7"/>
      <c r="AT31" s="7"/>
      <c r="AU31" s="8"/>
      <c r="AV31" s="8"/>
      <c r="AW31" s="8"/>
      <c r="AX31" s="8"/>
      <c r="AY31" s="8"/>
      <c r="AZ31" s="9"/>
      <c r="BA31" s="9"/>
      <c r="BB31" s="9"/>
      <c r="BC31" s="9"/>
      <c r="BE31" s="44" t="e">
        <f t="shared" si="12"/>
        <v>#VALUE!</v>
      </c>
      <c r="BF31" s="10" t="e">
        <f t="shared" si="13"/>
        <v>#DIV/0!</v>
      </c>
      <c r="BG31" s="10" t="e">
        <f t="shared" si="14"/>
        <v>#VALUE!</v>
      </c>
      <c r="BH31" s="10"/>
      <c r="BJ31" s="44"/>
      <c r="BK31" s="44"/>
      <c r="BL31" s="44"/>
      <c r="BM31" s="44"/>
      <c r="BN31" s="44"/>
      <c r="BP31" s="44"/>
      <c r="BQ31" s="44"/>
      <c r="BR31" s="44"/>
      <c r="BS31" s="44"/>
      <c r="BT31" s="44"/>
      <c r="BV31" s="51" t="e">
        <f t="shared" si="15"/>
        <v>#DIV/0!</v>
      </c>
      <c r="BW31" s="51" t="e">
        <f t="shared" si="15"/>
        <v>#DIV/0!</v>
      </c>
      <c r="BX31" s="51" t="e">
        <f t="shared" si="15"/>
        <v>#DIV/0!</v>
      </c>
      <c r="BY31" s="51" t="e">
        <f t="shared" si="16"/>
        <v>#DIV/0!</v>
      </c>
      <c r="BZ31" s="55"/>
      <c r="CA31" s="51"/>
      <c r="CC31" s="57"/>
    </row>
    <row r="32" spans="1:84" outlineLevel="1" x14ac:dyDescent="0.15">
      <c r="A32" s="11"/>
      <c r="B32" s="11" t="s">
        <v>28</v>
      </c>
      <c r="C32" s="12" t="s">
        <v>146</v>
      </c>
      <c r="D32" s="11">
        <v>375422539</v>
      </c>
      <c r="E32" s="12">
        <v>11</v>
      </c>
      <c r="F32" s="12">
        <v>32</v>
      </c>
      <c r="G32" s="12">
        <v>30</v>
      </c>
      <c r="I32" s="13" t="str">
        <f t="shared" si="0"/>
        <v>·</v>
      </c>
      <c r="J32" s="14" t="str">
        <f t="shared" si="1"/>
        <v>·</v>
      </c>
      <c r="K32" s="14" t="str">
        <f t="shared" si="2"/>
        <v>·</v>
      </c>
      <c r="L32" s="14" t="str">
        <f t="shared" si="3"/>
        <v>·</v>
      </c>
      <c r="M32" s="14" t="str">
        <f t="shared" si="4"/>
        <v>·</v>
      </c>
      <c r="N32" s="11" t="str">
        <f t="shared" si="5"/>
        <v/>
      </c>
      <c r="O32" s="14">
        <v>-12</v>
      </c>
      <c r="P32" s="15">
        <v>91551049</v>
      </c>
      <c r="Q32" s="15">
        <v>2860970.28125</v>
      </c>
      <c r="R32" s="15">
        <v>42562.1875</v>
      </c>
      <c r="S32" s="16"/>
      <c r="T32" s="16"/>
      <c r="U32" s="16"/>
      <c r="V32" s="16"/>
      <c r="W32" s="17"/>
      <c r="X32" s="17"/>
      <c r="Y32" s="17"/>
      <c r="Z32" s="17"/>
      <c r="AA32" s="17"/>
      <c r="AB32" s="18"/>
      <c r="AC32" s="18"/>
      <c r="AD32" s="18"/>
      <c r="AE32" s="18"/>
      <c r="AG32" s="13" t="str">
        <f t="shared" si="6"/>
        <v>·</v>
      </c>
      <c r="AH32" s="14" t="str">
        <f t="shared" si="7"/>
        <v>·</v>
      </c>
      <c r="AI32" s="14" t="str">
        <f t="shared" si="8"/>
        <v>·</v>
      </c>
      <c r="AJ32" s="14" t="str">
        <f t="shared" si="9"/>
        <v>·</v>
      </c>
      <c r="AK32" s="14" t="str">
        <f t="shared" si="10"/>
        <v>·</v>
      </c>
      <c r="AL32" s="11" t="str">
        <f t="shared" si="11"/>
        <v/>
      </c>
      <c r="AM32" s="14">
        <v>-12</v>
      </c>
      <c r="AN32" s="15"/>
      <c r="AO32" s="15"/>
      <c r="AP32" s="15"/>
      <c r="AQ32" s="16"/>
      <c r="AR32" s="16"/>
      <c r="AS32" s="16"/>
      <c r="AT32" s="16"/>
      <c r="AU32" s="17"/>
      <c r="AV32" s="17"/>
      <c r="AW32" s="17"/>
      <c r="AX32" s="17"/>
      <c r="AY32" s="17"/>
      <c r="AZ32" s="18"/>
      <c r="BA32" s="18"/>
      <c r="BB32" s="18"/>
      <c r="BC32" s="18"/>
      <c r="BE32" s="43" t="e">
        <f t="shared" si="12"/>
        <v>#VALUE!</v>
      </c>
      <c r="BF32" s="19" t="e">
        <f t="shared" si="13"/>
        <v>#DIV/0!</v>
      </c>
      <c r="BG32" s="19" t="e">
        <f t="shared" si="14"/>
        <v>#VALUE!</v>
      </c>
      <c r="BH32" s="19"/>
      <c r="BJ32" s="43"/>
      <c r="BK32" s="43"/>
      <c r="BL32" s="43"/>
      <c r="BM32" s="43"/>
      <c r="BN32" s="43"/>
      <c r="BP32" s="43"/>
      <c r="BQ32" s="43"/>
      <c r="BR32" s="43"/>
      <c r="BS32" s="43"/>
      <c r="BT32" s="43"/>
      <c r="BV32" s="51" t="e">
        <f t="shared" si="15"/>
        <v>#DIV/0!</v>
      </c>
      <c r="BW32" s="51" t="e">
        <f t="shared" si="15"/>
        <v>#DIV/0!</v>
      </c>
      <c r="BX32" s="51" t="e">
        <f t="shared" si="15"/>
        <v>#DIV/0!</v>
      </c>
      <c r="BY32" s="51" t="e">
        <f t="shared" si="16"/>
        <v>#DIV/0!</v>
      </c>
      <c r="BZ32" s="55"/>
      <c r="CA32" s="51"/>
      <c r="CC32" s="57"/>
    </row>
    <row r="33" spans="1:81" outlineLevel="1" x14ac:dyDescent="0.15">
      <c r="A33" s="46"/>
      <c r="B33" s="46" t="s">
        <v>28</v>
      </c>
      <c r="C33" s="3" t="s">
        <v>147</v>
      </c>
      <c r="D33" s="46">
        <v>375422539</v>
      </c>
      <c r="E33" s="3">
        <v>11</v>
      </c>
      <c r="F33" s="3">
        <v>32</v>
      </c>
      <c r="G33" s="3">
        <v>30</v>
      </c>
      <c r="I33" s="4" t="str">
        <f t="shared" si="0"/>
        <v>·</v>
      </c>
      <c r="J33" s="5" t="str">
        <f t="shared" si="1"/>
        <v>·</v>
      </c>
      <c r="K33" s="5" t="str">
        <f t="shared" si="2"/>
        <v>·</v>
      </c>
      <c r="L33" s="5" t="str">
        <f t="shared" si="3"/>
        <v>·</v>
      </c>
      <c r="M33" s="5" t="str">
        <f t="shared" si="4"/>
        <v>·</v>
      </c>
      <c r="N33" s="46" t="str">
        <f t="shared" si="5"/>
        <v/>
      </c>
      <c r="O33" s="5">
        <v>-12</v>
      </c>
      <c r="P33" s="6">
        <v>93835548</v>
      </c>
      <c r="Q33" s="6">
        <v>2932360.875</v>
      </c>
      <c r="R33" s="6">
        <v>47386.6875</v>
      </c>
      <c r="S33" s="7"/>
      <c r="T33" s="7"/>
      <c r="U33" s="7"/>
      <c r="V33" s="7"/>
      <c r="W33" s="8"/>
      <c r="X33" s="8"/>
      <c r="Y33" s="8"/>
      <c r="Z33" s="8"/>
      <c r="AA33" s="8"/>
      <c r="AB33" s="9"/>
      <c r="AC33" s="9"/>
      <c r="AD33" s="9"/>
      <c r="AE33" s="9"/>
      <c r="AG33" s="4" t="str">
        <f t="shared" si="6"/>
        <v>·</v>
      </c>
      <c r="AH33" s="5" t="str">
        <f t="shared" si="7"/>
        <v>·</v>
      </c>
      <c r="AI33" s="5" t="str">
        <f t="shared" si="8"/>
        <v>·</v>
      </c>
      <c r="AJ33" s="5" t="str">
        <f t="shared" si="9"/>
        <v>·</v>
      </c>
      <c r="AK33" s="5" t="str">
        <f t="shared" si="10"/>
        <v>·</v>
      </c>
      <c r="AL33" s="46" t="str">
        <f t="shared" si="11"/>
        <v/>
      </c>
      <c r="AM33" s="5">
        <v>-12</v>
      </c>
      <c r="AN33" s="6"/>
      <c r="AO33" s="6"/>
      <c r="AP33" s="6"/>
      <c r="AQ33" s="7"/>
      <c r="AR33" s="7"/>
      <c r="AS33" s="7"/>
      <c r="AT33" s="7"/>
      <c r="AU33" s="8"/>
      <c r="AV33" s="8"/>
      <c r="AW33" s="8"/>
      <c r="AX33" s="8"/>
      <c r="AY33" s="8"/>
      <c r="AZ33" s="9"/>
      <c r="BA33" s="9"/>
      <c r="BB33" s="9"/>
      <c r="BC33" s="9"/>
      <c r="BE33" s="44" t="e">
        <f t="shared" si="12"/>
        <v>#VALUE!</v>
      </c>
      <c r="BF33" s="10" t="e">
        <f t="shared" si="13"/>
        <v>#DIV/0!</v>
      </c>
      <c r="BG33" s="10" t="e">
        <f t="shared" si="14"/>
        <v>#VALUE!</v>
      </c>
      <c r="BH33" s="10"/>
      <c r="BJ33" s="44"/>
      <c r="BK33" s="44"/>
      <c r="BL33" s="44"/>
      <c r="BM33" s="44"/>
      <c r="BN33" s="44"/>
      <c r="BP33" s="44"/>
      <c r="BQ33" s="44"/>
      <c r="BR33" s="44"/>
      <c r="BS33" s="44"/>
      <c r="BT33" s="44"/>
      <c r="BV33" s="51" t="e">
        <f t="shared" si="15"/>
        <v>#DIV/0!</v>
      </c>
      <c r="BW33" s="51" t="e">
        <f t="shared" si="15"/>
        <v>#DIV/0!</v>
      </c>
      <c r="BX33" s="51" t="e">
        <f t="shared" si="15"/>
        <v>#DIV/0!</v>
      </c>
      <c r="BY33" s="51" t="e">
        <f t="shared" si="16"/>
        <v>#DIV/0!</v>
      </c>
      <c r="BZ33" s="55"/>
      <c r="CA33" s="51"/>
      <c r="CC33" s="57"/>
    </row>
    <row r="34" spans="1:81" ht="14.25" outlineLevel="1" thickBot="1" x14ac:dyDescent="0.2">
      <c r="A34" s="11"/>
      <c r="B34" s="30" t="s">
        <v>28</v>
      </c>
      <c r="C34" s="31" t="s">
        <v>148</v>
      </c>
      <c r="D34" s="30">
        <v>375422539</v>
      </c>
      <c r="E34" s="31">
        <v>11</v>
      </c>
      <c r="F34" s="31">
        <v>32</v>
      </c>
      <c r="G34" s="31">
        <v>30</v>
      </c>
      <c r="I34" s="32" t="str">
        <f t="shared" si="0"/>
        <v>·</v>
      </c>
      <c r="J34" s="33" t="str">
        <f t="shared" si="1"/>
        <v>·</v>
      </c>
      <c r="K34" s="33" t="str">
        <f t="shared" si="2"/>
        <v>·</v>
      </c>
      <c r="L34" s="33" t="str">
        <f t="shared" si="3"/>
        <v>·</v>
      </c>
      <c r="M34" s="33" t="str">
        <f t="shared" si="4"/>
        <v>·</v>
      </c>
      <c r="N34" s="30" t="str">
        <f t="shared" si="5"/>
        <v/>
      </c>
      <c r="O34" s="33">
        <v>-12</v>
      </c>
      <c r="P34" s="34">
        <v>91937439</v>
      </c>
      <c r="Q34" s="34">
        <v>2873044.96875</v>
      </c>
      <c r="R34" s="34">
        <v>18769.40625</v>
      </c>
      <c r="S34" s="35"/>
      <c r="T34" s="35"/>
      <c r="U34" s="35"/>
      <c r="V34" s="35"/>
      <c r="W34" s="36"/>
      <c r="X34" s="36"/>
      <c r="Y34" s="36"/>
      <c r="Z34" s="36"/>
      <c r="AA34" s="36"/>
      <c r="AB34" s="37"/>
      <c r="AC34" s="37"/>
      <c r="AD34" s="37"/>
      <c r="AE34" s="37"/>
      <c r="AG34" s="32" t="str">
        <f t="shared" si="6"/>
        <v>·</v>
      </c>
      <c r="AH34" s="33" t="str">
        <f t="shared" si="7"/>
        <v>·</v>
      </c>
      <c r="AI34" s="33" t="str">
        <f t="shared" si="8"/>
        <v>·</v>
      </c>
      <c r="AJ34" s="33" t="str">
        <f t="shared" si="9"/>
        <v>·</v>
      </c>
      <c r="AK34" s="33" t="str">
        <f t="shared" si="10"/>
        <v>·</v>
      </c>
      <c r="AL34" s="30" t="str">
        <f t="shared" si="11"/>
        <v/>
      </c>
      <c r="AM34" s="33">
        <v>-12</v>
      </c>
      <c r="AN34" s="34"/>
      <c r="AO34" s="34"/>
      <c r="AP34" s="34"/>
      <c r="AQ34" s="35"/>
      <c r="AR34" s="35"/>
      <c r="AS34" s="35"/>
      <c r="AT34" s="35"/>
      <c r="AU34" s="36"/>
      <c r="AV34" s="36"/>
      <c r="AW34" s="36"/>
      <c r="AX34" s="36"/>
      <c r="AY34" s="36"/>
      <c r="AZ34" s="37"/>
      <c r="BA34" s="37"/>
      <c r="BB34" s="37"/>
      <c r="BC34" s="37"/>
      <c r="BE34" s="38" t="e">
        <f t="shared" si="12"/>
        <v>#VALUE!</v>
      </c>
      <c r="BF34" s="39" t="e">
        <f t="shared" si="13"/>
        <v>#DIV/0!</v>
      </c>
      <c r="BG34" s="39" t="e">
        <f t="shared" si="14"/>
        <v>#VALUE!</v>
      </c>
      <c r="BH34" s="39"/>
      <c r="BJ34" s="38"/>
      <c r="BK34" s="38"/>
      <c r="BL34" s="38"/>
      <c r="BM34" s="38"/>
      <c r="BN34" s="38"/>
      <c r="BP34" s="38"/>
      <c r="BQ34" s="38"/>
      <c r="BR34" s="38"/>
      <c r="BS34" s="38"/>
      <c r="BT34" s="38"/>
      <c r="BV34" s="51" t="e">
        <f t="shared" si="15"/>
        <v>#DIV/0!</v>
      </c>
      <c r="BW34" s="51" t="e">
        <f t="shared" si="15"/>
        <v>#DIV/0!</v>
      </c>
      <c r="BX34" s="51" t="e">
        <f t="shared" si="15"/>
        <v>#DIV/0!</v>
      </c>
      <c r="BY34" s="51" t="e">
        <f t="shared" si="16"/>
        <v>#DIV/0!</v>
      </c>
      <c r="BZ34" s="55"/>
      <c r="CA34" s="51"/>
      <c r="CC34" s="57"/>
    </row>
    <row r="35" spans="1:81" x14ac:dyDescent="0.15">
      <c r="A35" s="46"/>
      <c r="B35" s="46" t="s">
        <v>29</v>
      </c>
      <c r="C35" s="3" t="s">
        <v>144</v>
      </c>
      <c r="D35" s="46">
        <v>333190689</v>
      </c>
      <c r="E35" s="3">
        <v>11</v>
      </c>
      <c r="F35" s="3">
        <v>32</v>
      </c>
      <c r="G35" s="3">
        <v>30</v>
      </c>
      <c r="I35" s="4" t="str">
        <f t="shared" si="0"/>
        <v>·</v>
      </c>
      <c r="J35" s="5" t="str">
        <f t="shared" si="1"/>
        <v>·</v>
      </c>
      <c r="K35" s="5" t="str">
        <f t="shared" si="2"/>
        <v>·</v>
      </c>
      <c r="L35" s="5" t="str">
        <f t="shared" si="3"/>
        <v>·</v>
      </c>
      <c r="M35" s="5" t="str">
        <f t="shared" si="4"/>
        <v>·</v>
      </c>
      <c r="N35" s="46" t="str">
        <f t="shared" si="5"/>
        <v/>
      </c>
      <c r="O35" s="5">
        <v>-12</v>
      </c>
      <c r="P35" s="6">
        <v>74921620</v>
      </c>
      <c r="Q35" s="6">
        <v>2341300.625</v>
      </c>
      <c r="R35" s="6">
        <v>30932.375</v>
      </c>
      <c r="S35" s="7"/>
      <c r="T35" s="7"/>
      <c r="U35" s="7"/>
      <c r="V35" s="7"/>
      <c r="W35" s="8"/>
      <c r="X35" s="8"/>
      <c r="Y35" s="8"/>
      <c r="Z35" s="8"/>
      <c r="AA35" s="8"/>
      <c r="AB35" s="9"/>
      <c r="AC35" s="9"/>
      <c r="AD35" s="9"/>
      <c r="AE35" s="9"/>
      <c r="AG35" s="4" t="str">
        <f t="shared" si="6"/>
        <v>·</v>
      </c>
      <c r="AH35" s="5" t="str">
        <f t="shared" si="7"/>
        <v>·</v>
      </c>
      <c r="AI35" s="5" t="str">
        <f t="shared" si="8"/>
        <v>·</v>
      </c>
      <c r="AJ35" s="5" t="str">
        <f t="shared" si="9"/>
        <v>·</v>
      </c>
      <c r="AK35" s="5" t="str">
        <f t="shared" si="10"/>
        <v>·</v>
      </c>
      <c r="AL35" s="46" t="str">
        <f t="shared" si="11"/>
        <v/>
      </c>
      <c r="AM35" s="5">
        <v>-12</v>
      </c>
      <c r="AN35" s="6"/>
      <c r="AO35" s="6"/>
      <c r="AP35" s="6"/>
      <c r="AQ35" s="7"/>
      <c r="AR35" s="7"/>
      <c r="AS35" s="7"/>
      <c r="AT35" s="7"/>
      <c r="AU35" s="8"/>
      <c r="AV35" s="8"/>
      <c r="AW35" s="8"/>
      <c r="AX35" s="8"/>
      <c r="AY35" s="8"/>
      <c r="AZ35" s="9"/>
      <c r="BA35" s="9"/>
      <c r="BB35" s="9"/>
      <c r="BC35" s="9"/>
      <c r="BE35" s="44" t="e">
        <f t="shared" si="12"/>
        <v>#VALUE!</v>
      </c>
      <c r="BF35" s="10" t="e">
        <f t="shared" si="13"/>
        <v>#DIV/0!</v>
      </c>
      <c r="BG35" s="10" t="e">
        <f t="shared" si="14"/>
        <v>#VALUE!</v>
      </c>
      <c r="BH35" s="10" t="e">
        <f t="array" ref="BH35">AVERAGE(AL35:AL39/AQ35:AQ39) - AVERAGE(N35:N39/S35:S39)</f>
        <v>#VALUE!</v>
      </c>
      <c r="BJ35" s="44" t="str">
        <f>IF( OR(ISBLANK(N35:N39),ISBLANK(AL35:AL39), ISBLANK(W35:W39),ISBLANK(AU35:AU39)), "·", bdRateExtend( N35:N39,W35:W39, AL35:AL39,AU35:AU39))</f>
        <v>·</v>
      </c>
      <c r="BK35" s="44" t="str">
        <f>IF( OR(ISBLANK(N35:N39),ISBLANK(AL35:AL39), ISBLANK(X35:X39),ISBLANK(AV35:AV39)), "·", bdRateExtend( N35:N39,X35:X39, AL35:AL39,AV35:AV39))</f>
        <v>·</v>
      </c>
      <c r="BL35" s="44" t="str">
        <f>IF( OR(ISBLANK(V35:V39),ISBLANK(AT35:AT39), ISBLANK(Y35:Y39),ISBLANK(AW35:AW39)), "·", bdRateExtend( V35:V39,Y35:Y39, AT35:AT39,AW35:AW39))</f>
        <v>·</v>
      </c>
      <c r="BM35" s="44" t="str">
        <f>IF( OR(ISBLANK(V35:V39),ISBLANK(AT35:AT39), ISBLANK(Z35:Z39),ISBLANK(AX35:AX39)), "·", bdRateExtend( V35:V39,Z35:Z39, AT35:AT39,AX35:AX39))</f>
        <v>·</v>
      </c>
      <c r="BN35" s="44" t="str">
        <f>IF( OR(ISBLANK(V35:V39),ISBLANK(AT35:AT39), ISBLANK(AA35:AA39),ISBLANK(AY35:AY39)), "·", bdRateExtend( V35:V39,AA35:AA39, AT35:AT39,AY35:AY39))</f>
        <v>·</v>
      </c>
      <c r="BP35" s="44" t="str">
        <f>IF( OR(ISBLANK(S35:S39),ISBLANK(AQ35:AQ39), ISBLANK(W35:W39),ISBLANK(AU35:AU39)), "·", bdRateExtend( S35:S39,W35:W39, AQ35:AQ39,AU35:AU39))</f>
        <v>·</v>
      </c>
      <c r="BQ35" s="44" t="str">
        <f>IF( OR(ISBLANK(S35:S39),ISBLANK(AQ35:AQ39), ISBLANK(X35:X39),ISBLANK(AV35:AV39)), "·", bdRateExtend( S35:S39,X35:X39, AQ35:AQ39,AV35:AV39))</f>
        <v>·</v>
      </c>
      <c r="BR35" s="44" t="str">
        <f>IF( OR(ISBLANK(S35:S39),ISBLANK(AQ35:AQ39), ISBLANK(Y35:Y39),ISBLANK(AW35:AW39)), "·", bdRateExtend( S35:S39,Y35:Y39, AQ35:AQ39,AW35:AW39))</f>
        <v>·</v>
      </c>
      <c r="BS35" s="44" t="str">
        <f>IF( OR(ISBLANK(S35:S39),ISBLANK(AQ35:AQ39), ISBLANK(Z35:Z39),ISBLANK(AX35:AX39)), "·", bdRateExtend( S35:S39,Z35:Z39, AQ35:AQ39,AX35:AX39))</f>
        <v>·</v>
      </c>
      <c r="BT35" s="44" t="str">
        <f>IF( OR(ISBLANK(S35:S39),ISBLANK(AQ35:AQ39), ISBLANK(AA35:AA39),ISBLANK(AY35:AY39)), "·", bdRateExtend( S35:S39,AA35:AA39, AQ35:AQ39,AY35:AY39))</f>
        <v>·</v>
      </c>
      <c r="BV35" s="51" t="e">
        <f t="shared" si="15"/>
        <v>#DIV/0!</v>
      </c>
      <c r="BW35" s="51" t="e">
        <f t="shared" si="15"/>
        <v>#DIV/0!</v>
      </c>
      <c r="BX35" s="51" t="e">
        <f t="shared" si="15"/>
        <v>#DIV/0!</v>
      </c>
      <c r="BY35" s="51" t="e">
        <f t="shared" si="16"/>
        <v>#DIV/0!</v>
      </c>
      <c r="BZ35" s="55"/>
      <c r="CA35" s="51"/>
      <c r="CC35" s="57"/>
    </row>
    <row r="36" spans="1:81" outlineLevel="1" x14ac:dyDescent="0.15">
      <c r="A36" s="11"/>
      <c r="B36" s="11" t="s">
        <v>29</v>
      </c>
      <c r="C36" s="12" t="s">
        <v>145</v>
      </c>
      <c r="D36" s="11">
        <v>333190689</v>
      </c>
      <c r="E36" s="12">
        <v>11</v>
      </c>
      <c r="F36" s="12">
        <v>32</v>
      </c>
      <c r="G36" s="12">
        <v>30</v>
      </c>
      <c r="I36" s="13" t="str">
        <f t="shared" si="0"/>
        <v>·</v>
      </c>
      <c r="J36" s="14" t="str">
        <f t="shared" si="1"/>
        <v>·</v>
      </c>
      <c r="K36" s="14" t="str">
        <f t="shared" si="2"/>
        <v>·</v>
      </c>
      <c r="L36" s="14" t="str">
        <f t="shared" si="3"/>
        <v>·</v>
      </c>
      <c r="M36" s="14" t="str">
        <f t="shared" si="4"/>
        <v>·</v>
      </c>
      <c r="N36" s="11" t="str">
        <f t="shared" si="5"/>
        <v/>
      </c>
      <c r="O36" s="14">
        <v>-12</v>
      </c>
      <c r="P36" s="15">
        <v>79893061</v>
      </c>
      <c r="Q36" s="15">
        <v>2496658.15625</v>
      </c>
      <c r="R36" s="15">
        <v>39014.28125</v>
      </c>
      <c r="S36" s="16"/>
      <c r="T36" s="16"/>
      <c r="U36" s="16"/>
      <c r="V36" s="16"/>
      <c r="W36" s="17"/>
      <c r="X36" s="17"/>
      <c r="Y36" s="17"/>
      <c r="Z36" s="17"/>
      <c r="AA36" s="17"/>
      <c r="AB36" s="18"/>
      <c r="AC36" s="18"/>
      <c r="AD36" s="18"/>
      <c r="AE36" s="18"/>
      <c r="AG36" s="13" t="str">
        <f t="shared" si="6"/>
        <v>·</v>
      </c>
      <c r="AH36" s="14" t="str">
        <f t="shared" si="7"/>
        <v>·</v>
      </c>
      <c r="AI36" s="14" t="str">
        <f t="shared" si="8"/>
        <v>·</v>
      </c>
      <c r="AJ36" s="14" t="str">
        <f t="shared" si="9"/>
        <v>·</v>
      </c>
      <c r="AK36" s="14" t="str">
        <f t="shared" si="10"/>
        <v>·</v>
      </c>
      <c r="AL36" s="11" t="str">
        <f t="shared" si="11"/>
        <v/>
      </c>
      <c r="AM36" s="14">
        <v>-12</v>
      </c>
      <c r="AN36" s="15"/>
      <c r="AO36" s="15"/>
      <c r="AP36" s="15"/>
      <c r="AQ36" s="16"/>
      <c r="AR36" s="16"/>
      <c r="AS36" s="16"/>
      <c r="AT36" s="16"/>
      <c r="AU36" s="17"/>
      <c r="AV36" s="17"/>
      <c r="AW36" s="17"/>
      <c r="AX36" s="17"/>
      <c r="AY36" s="17"/>
      <c r="AZ36" s="18"/>
      <c r="BA36" s="18"/>
      <c r="BB36" s="18"/>
      <c r="BC36" s="18"/>
      <c r="BE36" s="43" t="e">
        <f t="shared" si="12"/>
        <v>#VALUE!</v>
      </c>
      <c r="BF36" s="19" t="e">
        <f t="shared" si="13"/>
        <v>#DIV/0!</v>
      </c>
      <c r="BG36" s="19" t="e">
        <f t="shared" si="14"/>
        <v>#VALUE!</v>
      </c>
      <c r="BH36" s="19"/>
      <c r="BJ36" s="43"/>
      <c r="BK36" s="43"/>
      <c r="BL36" s="43"/>
      <c r="BM36" s="43"/>
      <c r="BN36" s="43"/>
      <c r="BP36" s="43"/>
      <c r="BQ36" s="43"/>
      <c r="BR36" s="43"/>
      <c r="BS36" s="43"/>
      <c r="BT36" s="43"/>
      <c r="BV36" s="51" t="e">
        <f t="shared" si="15"/>
        <v>#DIV/0!</v>
      </c>
      <c r="BW36" s="51" t="e">
        <f t="shared" si="15"/>
        <v>#DIV/0!</v>
      </c>
      <c r="BX36" s="51" t="e">
        <f t="shared" si="15"/>
        <v>#DIV/0!</v>
      </c>
      <c r="BY36" s="51" t="e">
        <f t="shared" si="16"/>
        <v>#DIV/0!</v>
      </c>
      <c r="BZ36" s="55"/>
      <c r="CA36" s="51"/>
      <c r="CC36" s="57"/>
    </row>
    <row r="37" spans="1:81" outlineLevel="1" x14ac:dyDescent="0.15">
      <c r="A37" s="46"/>
      <c r="B37" s="46" t="s">
        <v>29</v>
      </c>
      <c r="C37" s="3" t="s">
        <v>146</v>
      </c>
      <c r="D37" s="46">
        <v>333190689</v>
      </c>
      <c r="E37" s="3">
        <v>11</v>
      </c>
      <c r="F37" s="3">
        <v>32</v>
      </c>
      <c r="G37" s="3">
        <v>30</v>
      </c>
      <c r="I37" s="4" t="str">
        <f t="shared" si="0"/>
        <v>·</v>
      </c>
      <c r="J37" s="5" t="str">
        <f t="shared" si="1"/>
        <v>·</v>
      </c>
      <c r="K37" s="5" t="str">
        <f t="shared" si="2"/>
        <v>·</v>
      </c>
      <c r="L37" s="5" t="str">
        <f t="shared" si="3"/>
        <v>·</v>
      </c>
      <c r="M37" s="5" t="str">
        <f t="shared" si="4"/>
        <v>·</v>
      </c>
      <c r="N37" s="46" t="str">
        <f t="shared" si="5"/>
        <v/>
      </c>
      <c r="O37" s="5">
        <v>-12</v>
      </c>
      <c r="P37" s="6">
        <v>81688385</v>
      </c>
      <c r="Q37" s="6">
        <v>2552762.03125</v>
      </c>
      <c r="R37" s="6">
        <v>42067.1875</v>
      </c>
      <c r="S37" s="7"/>
      <c r="T37" s="7"/>
      <c r="U37" s="7"/>
      <c r="V37" s="7"/>
      <c r="W37" s="8"/>
      <c r="X37" s="8"/>
      <c r="Y37" s="8"/>
      <c r="Z37" s="8"/>
      <c r="AA37" s="8"/>
      <c r="AB37" s="9"/>
      <c r="AC37" s="9"/>
      <c r="AD37" s="9"/>
      <c r="AE37" s="9"/>
      <c r="AG37" s="4" t="str">
        <f t="shared" si="6"/>
        <v>·</v>
      </c>
      <c r="AH37" s="5" t="str">
        <f t="shared" si="7"/>
        <v>·</v>
      </c>
      <c r="AI37" s="5" t="str">
        <f t="shared" si="8"/>
        <v>·</v>
      </c>
      <c r="AJ37" s="5" t="str">
        <f t="shared" si="9"/>
        <v>·</v>
      </c>
      <c r="AK37" s="5" t="str">
        <f t="shared" si="10"/>
        <v>·</v>
      </c>
      <c r="AL37" s="46" t="str">
        <f t="shared" si="11"/>
        <v/>
      </c>
      <c r="AM37" s="5">
        <v>-12</v>
      </c>
      <c r="AN37" s="6"/>
      <c r="AO37" s="6"/>
      <c r="AP37" s="6"/>
      <c r="AQ37" s="7"/>
      <c r="AR37" s="7"/>
      <c r="AS37" s="7"/>
      <c r="AT37" s="7"/>
      <c r="AU37" s="8"/>
      <c r="AV37" s="8"/>
      <c r="AW37" s="8"/>
      <c r="AX37" s="8"/>
      <c r="AY37" s="8"/>
      <c r="AZ37" s="9"/>
      <c r="BA37" s="9"/>
      <c r="BB37" s="9"/>
      <c r="BC37" s="9"/>
      <c r="BE37" s="44" t="e">
        <f t="shared" si="12"/>
        <v>#VALUE!</v>
      </c>
      <c r="BF37" s="10" t="e">
        <f t="shared" si="13"/>
        <v>#DIV/0!</v>
      </c>
      <c r="BG37" s="10" t="e">
        <f t="shared" si="14"/>
        <v>#VALUE!</v>
      </c>
      <c r="BH37" s="10"/>
      <c r="BJ37" s="44"/>
      <c r="BK37" s="44"/>
      <c r="BL37" s="44"/>
      <c r="BM37" s="44"/>
      <c r="BN37" s="44"/>
      <c r="BP37" s="44"/>
      <c r="BQ37" s="44"/>
      <c r="BR37" s="44"/>
      <c r="BS37" s="44"/>
      <c r="BT37" s="44"/>
      <c r="BV37" s="51" t="e">
        <f t="shared" si="15"/>
        <v>#DIV/0!</v>
      </c>
      <c r="BW37" s="51" t="e">
        <f t="shared" si="15"/>
        <v>#DIV/0!</v>
      </c>
      <c r="BX37" s="51" t="e">
        <f t="shared" si="15"/>
        <v>#DIV/0!</v>
      </c>
      <c r="BY37" s="51" t="e">
        <f t="shared" si="16"/>
        <v>#DIV/0!</v>
      </c>
      <c r="BZ37" s="55"/>
      <c r="CA37" s="51"/>
      <c r="CC37" s="57"/>
    </row>
    <row r="38" spans="1:81" outlineLevel="1" x14ac:dyDescent="0.15">
      <c r="A38" s="11"/>
      <c r="B38" s="11" t="s">
        <v>29</v>
      </c>
      <c r="C38" s="12" t="s">
        <v>147</v>
      </c>
      <c r="D38" s="11">
        <v>333190689</v>
      </c>
      <c r="E38" s="12">
        <v>11</v>
      </c>
      <c r="F38" s="12">
        <v>32</v>
      </c>
      <c r="G38" s="12">
        <v>30</v>
      </c>
      <c r="I38" s="13" t="str">
        <f t="shared" si="0"/>
        <v>·</v>
      </c>
      <c r="J38" s="14" t="str">
        <f t="shared" si="1"/>
        <v>·</v>
      </c>
      <c r="K38" s="14" t="str">
        <f t="shared" si="2"/>
        <v>·</v>
      </c>
      <c r="L38" s="14" t="str">
        <f t="shared" si="3"/>
        <v>·</v>
      </c>
      <c r="M38" s="14" t="str">
        <f t="shared" si="4"/>
        <v>·</v>
      </c>
      <c r="N38" s="11" t="str">
        <f t="shared" si="5"/>
        <v/>
      </c>
      <c r="O38" s="14">
        <v>-12</v>
      </c>
      <c r="P38" s="15">
        <v>83757654</v>
      </c>
      <c r="Q38" s="15">
        <v>2617426.6875</v>
      </c>
      <c r="R38" s="15">
        <v>46922.8125</v>
      </c>
      <c r="S38" s="16"/>
      <c r="T38" s="16"/>
      <c r="U38" s="16"/>
      <c r="V38" s="16"/>
      <c r="W38" s="17"/>
      <c r="X38" s="17"/>
      <c r="Y38" s="17"/>
      <c r="Z38" s="17"/>
      <c r="AA38" s="17"/>
      <c r="AB38" s="18"/>
      <c r="AC38" s="18"/>
      <c r="AD38" s="18"/>
      <c r="AE38" s="18"/>
      <c r="AG38" s="13" t="str">
        <f t="shared" si="6"/>
        <v>·</v>
      </c>
      <c r="AH38" s="14" t="str">
        <f t="shared" si="7"/>
        <v>·</v>
      </c>
      <c r="AI38" s="14" t="str">
        <f t="shared" si="8"/>
        <v>·</v>
      </c>
      <c r="AJ38" s="14" t="str">
        <f t="shared" si="9"/>
        <v>·</v>
      </c>
      <c r="AK38" s="14" t="str">
        <f t="shared" si="10"/>
        <v>·</v>
      </c>
      <c r="AL38" s="11" t="str">
        <f t="shared" si="11"/>
        <v/>
      </c>
      <c r="AM38" s="14">
        <v>-12</v>
      </c>
      <c r="AN38" s="15"/>
      <c r="AO38" s="15"/>
      <c r="AP38" s="15"/>
      <c r="AQ38" s="16"/>
      <c r="AR38" s="16"/>
      <c r="AS38" s="16"/>
      <c r="AT38" s="16"/>
      <c r="AU38" s="17"/>
      <c r="AV38" s="17"/>
      <c r="AW38" s="17"/>
      <c r="AX38" s="17"/>
      <c r="AY38" s="17"/>
      <c r="AZ38" s="18"/>
      <c r="BA38" s="18"/>
      <c r="BB38" s="18"/>
      <c r="BC38" s="18"/>
      <c r="BE38" s="43" t="e">
        <f t="shared" si="12"/>
        <v>#VALUE!</v>
      </c>
      <c r="BF38" s="19" t="e">
        <f t="shared" si="13"/>
        <v>#DIV/0!</v>
      </c>
      <c r="BG38" s="19" t="e">
        <f t="shared" si="14"/>
        <v>#VALUE!</v>
      </c>
      <c r="BH38" s="19"/>
      <c r="BJ38" s="43"/>
      <c r="BK38" s="43"/>
      <c r="BL38" s="43"/>
      <c r="BM38" s="43"/>
      <c r="BN38" s="43"/>
      <c r="BP38" s="43"/>
      <c r="BQ38" s="43"/>
      <c r="BR38" s="43"/>
      <c r="BS38" s="43"/>
      <c r="BT38" s="43"/>
      <c r="BV38" s="51" t="e">
        <f t="shared" si="15"/>
        <v>#DIV/0!</v>
      </c>
      <c r="BW38" s="51" t="e">
        <f t="shared" si="15"/>
        <v>#DIV/0!</v>
      </c>
      <c r="BX38" s="51" t="e">
        <f t="shared" si="15"/>
        <v>#DIV/0!</v>
      </c>
      <c r="BY38" s="51" t="e">
        <f t="shared" si="16"/>
        <v>#DIV/0!</v>
      </c>
      <c r="BZ38" s="54"/>
      <c r="CC38" s="57"/>
    </row>
    <row r="39" spans="1:81" ht="14.25" outlineLevel="1" thickBot="1" x14ac:dyDescent="0.2">
      <c r="A39" s="20"/>
      <c r="B39" s="20" t="s">
        <v>29</v>
      </c>
      <c r="C39" s="21" t="s">
        <v>148</v>
      </c>
      <c r="D39" s="20">
        <v>333190689</v>
      </c>
      <c r="E39" s="21">
        <v>11</v>
      </c>
      <c r="F39" s="21">
        <v>32</v>
      </c>
      <c r="G39" s="21">
        <v>30</v>
      </c>
      <c r="I39" s="22" t="str">
        <f t="shared" si="0"/>
        <v>·</v>
      </c>
      <c r="J39" s="23" t="str">
        <f t="shared" si="1"/>
        <v>·</v>
      </c>
      <c r="K39" s="23" t="str">
        <f t="shared" si="2"/>
        <v>·</v>
      </c>
      <c r="L39" s="23" t="str">
        <f t="shared" si="3"/>
        <v>·</v>
      </c>
      <c r="M39" s="23" t="str">
        <f t="shared" si="4"/>
        <v>·</v>
      </c>
      <c r="N39" s="20" t="str">
        <f t="shared" si="5"/>
        <v/>
      </c>
      <c r="O39" s="23">
        <v>-12</v>
      </c>
      <c r="P39" s="24">
        <v>81959857</v>
      </c>
      <c r="Q39" s="24">
        <v>2561245.53125</v>
      </c>
      <c r="R39" s="24">
        <v>18607.15625</v>
      </c>
      <c r="S39" s="25"/>
      <c r="T39" s="25"/>
      <c r="U39" s="25"/>
      <c r="V39" s="25"/>
      <c r="W39" s="26"/>
      <c r="X39" s="26"/>
      <c r="Y39" s="26"/>
      <c r="Z39" s="26"/>
      <c r="AA39" s="26"/>
      <c r="AB39" s="27"/>
      <c r="AC39" s="27"/>
      <c r="AD39" s="27"/>
      <c r="AE39" s="27"/>
      <c r="AG39" s="22" t="str">
        <f t="shared" si="6"/>
        <v>·</v>
      </c>
      <c r="AH39" s="23" t="str">
        <f t="shared" si="7"/>
        <v>·</v>
      </c>
      <c r="AI39" s="23" t="str">
        <f t="shared" si="8"/>
        <v>·</v>
      </c>
      <c r="AJ39" s="23" t="str">
        <f t="shared" si="9"/>
        <v>·</v>
      </c>
      <c r="AK39" s="23" t="str">
        <f t="shared" si="10"/>
        <v>·</v>
      </c>
      <c r="AL39" s="20" t="str">
        <f t="shared" si="11"/>
        <v/>
      </c>
      <c r="AM39" s="23">
        <v>-12</v>
      </c>
      <c r="AN39" s="24"/>
      <c r="AO39" s="24"/>
      <c r="AP39" s="24"/>
      <c r="AQ39" s="25"/>
      <c r="AR39" s="25"/>
      <c r="AS39" s="25"/>
      <c r="AT39" s="25"/>
      <c r="AU39" s="26"/>
      <c r="AV39" s="26"/>
      <c r="AW39" s="26"/>
      <c r="AX39" s="26"/>
      <c r="AY39" s="26"/>
      <c r="AZ39" s="27"/>
      <c r="BA39" s="27"/>
      <c r="BB39" s="27"/>
      <c r="BC39" s="27"/>
      <c r="BE39" s="28" t="e">
        <f t="shared" si="12"/>
        <v>#VALUE!</v>
      </c>
      <c r="BF39" s="29" t="e">
        <f t="shared" si="13"/>
        <v>#DIV/0!</v>
      </c>
      <c r="BG39" s="29" t="e">
        <f t="shared" si="14"/>
        <v>#VALUE!</v>
      </c>
      <c r="BH39" s="29"/>
      <c r="BJ39" s="28"/>
      <c r="BK39" s="28"/>
      <c r="BL39" s="28"/>
      <c r="BM39" s="28"/>
      <c r="BN39" s="28"/>
      <c r="BP39" s="28"/>
      <c r="BQ39" s="28"/>
      <c r="BR39" s="28"/>
      <c r="BS39" s="28"/>
      <c r="BT39" s="28"/>
      <c r="BV39" s="52" t="e">
        <f t="shared" si="15"/>
        <v>#DIV/0!</v>
      </c>
      <c r="BW39" s="52" t="e">
        <f t="shared" si="15"/>
        <v>#DIV/0!</v>
      </c>
      <c r="BX39" s="52" t="e">
        <f t="shared" si="15"/>
        <v>#DIV/0!</v>
      </c>
      <c r="BY39" s="52" t="e">
        <f t="shared" si="16"/>
        <v>#DIV/0!</v>
      </c>
      <c r="BZ39" s="54"/>
      <c r="CC39" s="57"/>
    </row>
    <row r="40" spans="1:81" x14ac:dyDescent="0.15">
      <c r="B40" s="40" t="s">
        <v>9</v>
      </c>
      <c r="J40" s="41">
        <f>AVERAGE(J5:J24)</f>
        <v>4.4208546081002734E-2</v>
      </c>
      <c r="K40" s="41">
        <f>AVERAGE(K5:K24)</f>
        <v>1.3836094495758086E-2</v>
      </c>
      <c r="L40" s="41">
        <f>AVERAGE(L5:L24)</f>
        <v>9.6969495541967075E-3</v>
      </c>
      <c r="M40" s="41">
        <f>AVERAGE(M5:M24)</f>
        <v>3.0372451585244636E-2</v>
      </c>
      <c r="AH40" s="41">
        <f>AVERAGE(AH5:AH24)</f>
        <v>4.4202521150653935E-2</v>
      </c>
      <c r="AI40" s="41">
        <f>AVERAGE(AI5:AI24)</f>
        <v>1.3838285885535522E-2</v>
      </c>
      <c r="AJ40" s="41">
        <f>AVERAGE(AJ5:AJ24)</f>
        <v>9.6991409439741473E-3</v>
      </c>
      <c r="AK40" s="41">
        <f>AVERAGE(AK5:AK24)</f>
        <v>3.036423526511841E-2</v>
      </c>
      <c r="BE40" s="45">
        <f t="shared" si="12"/>
        <v>1.0001583821054496</v>
      </c>
      <c r="BH40" s="47">
        <f>AVERAGE(BH5:BH24)</f>
        <v>1.5058206007033392E-4</v>
      </c>
      <c r="BJ40" s="45">
        <f>AVERAGE(BJ5:BJ24)</f>
        <v>6.5400326759412764E-4</v>
      </c>
      <c r="BK40" s="45">
        <f>AVERAGE(BK5:BK24)</f>
        <v>1.1422112548502006E-3</v>
      </c>
      <c r="BL40" s="45">
        <f>AVERAGE(BL5:BL24)</f>
        <v>7.0681043834955326E-4</v>
      </c>
      <c r="BM40" s="45">
        <f>AVERAGE(BM5:BM24)</f>
        <v>-5.7633997010669569E-3</v>
      </c>
      <c r="BN40" s="45">
        <f>AVERAGE(BN5:BN24)</f>
        <v>-3.4643165674415888E-3</v>
      </c>
      <c r="BP40" s="45">
        <f>AVERAGE(BP5:BP24)</f>
        <v>5.5742370452355194E-4</v>
      </c>
      <c r="BQ40" s="45">
        <f>AVERAGE(BQ5:BQ24)</f>
        <v>1.4887532702957396E-3</v>
      </c>
      <c r="BR40" s="45">
        <f>AVERAGE(BR5:BR24)</f>
        <v>5.6112700426441675E-4</v>
      </c>
      <c r="BS40" s="45">
        <f>AVERAGE(BS5:BS24)</f>
        <v>-3.7608740461537449E-3</v>
      </c>
      <c r="BT40" s="45">
        <f>AVERAGE(BT5:BT24)</f>
        <v>-2.5176305288233669E-3</v>
      </c>
      <c r="BV40" s="51">
        <f>AVERAGE(BV5:BV29)</f>
        <v>0.18823058592912836</v>
      </c>
      <c r="BW40" s="51">
        <f>AVERAGE(BW5:BW29)</f>
        <v>0.17667473122693333</v>
      </c>
      <c r="BX40" s="51">
        <f>AVERAGE(BX5:BX29)</f>
        <v>0.11222355817396119</v>
      </c>
      <c r="BY40" s="60">
        <f>AVERAGE(BV40:BW40)</f>
        <v>0.18245265857803084</v>
      </c>
      <c r="BZ40" s="54"/>
      <c r="CB40" s="51"/>
      <c r="CC40" s="58"/>
    </row>
    <row r="41" spans="1:81" x14ac:dyDescent="0.15">
      <c r="B41" s="40" t="s">
        <v>10</v>
      </c>
      <c r="J41" s="41">
        <f>AVERAGE(J25:J29)</f>
        <v>7.9821412994069529E-2</v>
      </c>
      <c r="K41" s="41">
        <f>AVERAGE(K25:K29)</f>
        <v>1.2343170896124311E-2</v>
      </c>
      <c r="L41" s="41">
        <f>AVERAGE(L25:L29)</f>
        <v>9.0938284872662568E-3</v>
      </c>
      <c r="M41" s="41">
        <f>AVERAGE(M25:M29)</f>
        <v>6.7478242097945215E-2</v>
      </c>
      <c r="AH41" s="41">
        <f>AVERAGE(AH25:AH29)</f>
        <v>7.9818178405475823E-2</v>
      </c>
      <c r="AI41" s="41">
        <f>AVERAGE(AI25:AI29)</f>
        <v>1.2340351817923092E-2</v>
      </c>
      <c r="AJ41" s="41">
        <f>AVERAGE(AJ25:AJ29)</f>
        <v>9.0910094090650342E-3</v>
      </c>
      <c r="AK41" s="41">
        <f>AVERAGE(AK25:AK29)</f>
        <v>6.7477826587552747E-2</v>
      </c>
      <c r="BE41" s="45">
        <f t="shared" si="12"/>
        <v>0.99977160826622724</v>
      </c>
      <c r="BH41" s="47">
        <f>AVERAGE(BH25:BH29)</f>
        <v>1.7285843147418767E-6</v>
      </c>
      <c r="BJ41" s="45">
        <f>AVERAGE(BJ25:BJ29)</f>
        <v>9.7559883090880817E-4</v>
      </c>
      <c r="BK41" s="45">
        <f>AVERAGE(BK25:BK29)</f>
        <v>1.1295195340483843E-3</v>
      </c>
      <c r="BL41" s="45">
        <f>AVERAGE(BL25:BL29)</f>
        <v>3.1234023439608016E-4</v>
      </c>
      <c r="BM41" s="45">
        <f>AVERAGE(BM25:BM29)</f>
        <v>3.6282113640195846E-4</v>
      </c>
      <c r="BN41" s="45">
        <f>AVERAGE(BN25:BN29)</f>
        <v>8.4148037376041707E-4</v>
      </c>
      <c r="BP41" s="45">
        <f>AVERAGE(BP25:BP29)</f>
        <v>2.5087167988153691E-3</v>
      </c>
      <c r="BQ41" s="45">
        <f>AVERAGE(BQ25:BQ29)</f>
        <v>2.8262889318284579E-3</v>
      </c>
      <c r="BR41" s="45">
        <f>AVERAGE(BR25:BR29)</f>
        <v>2.6782475847730858E-4</v>
      </c>
      <c r="BS41" s="45">
        <f>AVERAGE(BS25:BS29)</f>
        <v>2.4343704257190346E-4</v>
      </c>
      <c r="BT41" s="45">
        <f>AVERAGE(BT25:BT29)</f>
        <v>7.1504057340088245E-4</v>
      </c>
    </row>
    <row r="42" spans="1:81" x14ac:dyDescent="0.15">
      <c r="B42" s="40" t="s">
        <v>11</v>
      </c>
      <c r="J42" s="41" t="e">
        <f>AVERAGE(J30:J39)</f>
        <v>#DIV/0!</v>
      </c>
      <c r="K42" s="41" t="e">
        <f>AVERAGE(K30:K39)</f>
        <v>#DIV/0!</v>
      </c>
      <c r="L42" s="41" t="e">
        <f>AVERAGE(L30:L39)</f>
        <v>#DIV/0!</v>
      </c>
      <c r="M42" s="41" t="e">
        <f>AVERAGE(M30:M39)</f>
        <v>#DIV/0!</v>
      </c>
      <c r="AH42" s="41" t="e">
        <f>AVERAGE(AH30:AH39)</f>
        <v>#DIV/0!</v>
      </c>
      <c r="AI42" s="41" t="e">
        <f>AVERAGE(AI30:AI39)</f>
        <v>#DIV/0!</v>
      </c>
      <c r="AJ42" s="41" t="e">
        <f>AVERAGE(AJ30:AJ39)</f>
        <v>#DIV/0!</v>
      </c>
      <c r="AK42" s="41" t="e">
        <f>AVERAGE(AK30:AK39)</f>
        <v>#DIV/0!</v>
      </c>
      <c r="BE42" s="45" t="e">
        <f t="shared" si="12"/>
        <v>#DIV/0!</v>
      </c>
      <c r="BH42" s="47" t="e">
        <f>AVERAGE(BH30:BH39)</f>
        <v>#VALUE!</v>
      </c>
      <c r="BJ42" s="45" t="e">
        <f>AVERAGE(BJ30:BJ39)</f>
        <v>#DIV/0!</v>
      </c>
      <c r="BK42" s="45" t="e">
        <f>AVERAGE(BK30:BK39)</f>
        <v>#DIV/0!</v>
      </c>
      <c r="BL42" s="45" t="e">
        <f>AVERAGE(BL30:BL39)</f>
        <v>#DIV/0!</v>
      </c>
      <c r="BM42" s="45" t="e">
        <f>AVERAGE(BM30:BM39)</f>
        <v>#DIV/0!</v>
      </c>
      <c r="BN42" s="45" t="e">
        <f>AVERAGE(BN30:BN39)</f>
        <v>#DIV/0!</v>
      </c>
      <c r="BP42" s="45" t="e">
        <f>AVERAGE(BP30:BP39)</f>
        <v>#DIV/0!</v>
      </c>
      <c r="BQ42" s="45" t="e">
        <f>AVERAGE(BQ30:BQ39)</f>
        <v>#DIV/0!</v>
      </c>
      <c r="BR42" s="45" t="e">
        <f>AVERAGE(BR30:BR39)</f>
        <v>#DIV/0!</v>
      </c>
      <c r="BS42" s="45" t="e">
        <f>AVERAGE(BS30:BS39)</f>
        <v>#DIV/0!</v>
      </c>
      <c r="BT42" s="45" t="e">
        <f>AVERAGE(BT30:BT39)</f>
        <v>#DIV/0!</v>
      </c>
    </row>
    <row r="43" spans="1:81" x14ac:dyDescent="0.15">
      <c r="B43" s="40" t="s">
        <v>12</v>
      </c>
      <c r="J43" s="41">
        <f>AVERAGE(J5:J39)</f>
        <v>5.1331119463616091E-2</v>
      </c>
      <c r="K43" s="41">
        <f>AVERAGE(K5:K39)</f>
        <v>1.3537509775831333E-2</v>
      </c>
      <c r="L43" s="41">
        <f>AVERAGE(L5:L39)</f>
        <v>9.5763253408106177E-3</v>
      </c>
      <c r="M43" s="41">
        <f>AVERAGE(M5:M39)</f>
        <v>3.7793609687784752E-2</v>
      </c>
      <c r="AH43" s="41">
        <f>AVERAGE(AH5:AH39)</f>
        <v>5.132565260161831E-2</v>
      </c>
      <c r="AI43" s="41">
        <f>AVERAGE(AI5:AI39)</f>
        <v>1.3538699072013036E-2</v>
      </c>
      <c r="AJ43" s="41">
        <f>AVERAGE(AJ5:AJ39)</f>
        <v>9.577514636992324E-3</v>
      </c>
      <c r="AK43" s="41">
        <f>AVERAGE(AK5:AK39)</f>
        <v>3.7786953529605281E-2</v>
      </c>
      <c r="BE43" s="45">
        <f t="shared" si="12"/>
        <v>1.0000878519167407</v>
      </c>
      <c r="BH43" s="47" t="e">
        <f>AVERAGE(BH5:BH39)</f>
        <v>#VALUE!</v>
      </c>
      <c r="BJ43" s="45">
        <f>AVERAGE(BJ5:BJ39)</f>
        <v>7.1832238025706376E-4</v>
      </c>
      <c r="BK43" s="45">
        <f>AVERAGE(BK5:BK39)</f>
        <v>1.1396729106898373E-3</v>
      </c>
      <c r="BL43" s="45">
        <f>AVERAGE(BL5:BL39)</f>
        <v>6.2791639755885862E-4</v>
      </c>
      <c r="BM43" s="45">
        <f>AVERAGE(BM5:BM39)</f>
        <v>-4.5381555335731738E-3</v>
      </c>
      <c r="BN43" s="45">
        <f>AVERAGE(BN5:BN39)</f>
        <v>-2.6031571792011878E-3</v>
      </c>
      <c r="BP43" s="45">
        <f>AVERAGE(BP5:BP39)</f>
        <v>9.4768232338191536E-4</v>
      </c>
      <c r="BQ43" s="45">
        <f>AVERAGE(BQ5:BQ39)</f>
        <v>1.7562604026022833E-3</v>
      </c>
      <c r="BR43" s="45">
        <f>AVERAGE(BR5:BR39)</f>
        <v>5.0246655510699512E-4</v>
      </c>
      <c r="BS43" s="45">
        <f>AVERAGE(BS5:BS39)</f>
        <v>-2.9600118284086154E-3</v>
      </c>
      <c r="BT43" s="45">
        <f>AVERAGE(BT5:BT39)</f>
        <v>-1.871096308378517E-3</v>
      </c>
      <c r="BV43" s="51" t="e">
        <f>AVERAGE(BV5:BV39)</f>
        <v>#DIV/0!</v>
      </c>
      <c r="BW43" s="51" t="e">
        <f>AVERAGE(BW5:BW39)</f>
        <v>#DIV/0!</v>
      </c>
      <c r="BX43" s="51" t="e">
        <f t="shared" ref="BX43" si="22">AVERAGE(BX8:BX32)</f>
        <v>#DIV/0!</v>
      </c>
      <c r="BY43" s="51" t="e">
        <f>AVERAGE(BV43:BW43)</f>
        <v>#DIV/0!</v>
      </c>
      <c r="BZ43" s="51"/>
      <c r="CA43" s="51"/>
    </row>
    <row r="44" spans="1:81" hidden="1" outlineLevel="2" x14ac:dyDescent="0.15">
      <c r="A44" s="40" t="s">
        <v>151</v>
      </c>
      <c r="B44" s="40" t="s">
        <v>152</v>
      </c>
      <c r="AB44" s="42">
        <f>SUM(AB5:AB24,AB25:AB29,AB30:AB39)</f>
        <v>13583.588</v>
      </c>
      <c r="AC44" s="42">
        <f>SUM(AC5:AC24,AC25:AC29,AC30:AC39)</f>
        <v>12281.821999999998</v>
      </c>
      <c r="AD44" s="42">
        <f>SUM(AD5:AD24,AD25:AD29,AD30:AD39)</f>
        <v>42747.12999999999</v>
      </c>
      <c r="AE44" s="42">
        <f>SUM(AE5:AE24,AE25:AE29,AE30:AE39)</f>
        <v>256.86500000000001</v>
      </c>
      <c r="AZ44" s="42">
        <f>SUM(AZ5:AZ24,AZ25:AZ29,AZ30:AZ39)</f>
        <v>11104.187999999998</v>
      </c>
      <c r="BA44" s="42">
        <f>SUM(BA5:BA24,BA25:BA29,BA30:BA39)</f>
        <v>10185.424000000001</v>
      </c>
      <c r="BB44" s="42">
        <f>SUM(BB5:BB24,BB25:BB29,BB30:BB39)</f>
        <v>38089.61</v>
      </c>
      <c r="BC44" s="42">
        <f>SUM(BC5:BC24,BC25:BC29,BC30:BC39)</f>
        <v>256.61299999999994</v>
      </c>
    </row>
    <row r="45" spans="1:81" hidden="1" outlineLevel="2" x14ac:dyDescent="0.15">
      <c r="B45" s="40" t="s">
        <v>153</v>
      </c>
      <c r="AZ45" s="47">
        <f>AZ44/AB44</f>
        <v>0.8174709068031214</v>
      </c>
      <c r="BA45" s="47">
        <f>BA44/AC44</f>
        <v>0.82930887615860271</v>
      </c>
      <c r="BB45" s="47">
        <f>BB44/AD44</f>
        <v>0.89104484909279313</v>
      </c>
      <c r="BC45" s="47">
        <f>BC44/AE44</f>
        <v>0.99901893991006918</v>
      </c>
    </row>
    <row r="46" spans="1:81" ht="27" hidden="1" outlineLevel="2" x14ac:dyDescent="0.15">
      <c r="B46" s="40" t="s">
        <v>154</v>
      </c>
      <c r="AB46" s="42">
        <f>GEOMEAN(AB5:AB24,AB25:AB29,AB30:AB39)</f>
        <v>539.64837334668141</v>
      </c>
      <c r="AC46" s="42">
        <f>GEOMEAN(AC5:AC24,AC25:AC29,AC30:AC39)</f>
        <v>485.97404488690677</v>
      </c>
      <c r="AD46" s="42">
        <f>GEOMEAN(AD5:AD24,AD25:AD29,AD30:AD39)</f>
        <v>1693.5332530839414</v>
      </c>
      <c r="AE46" s="42">
        <f>GEOMEAN(AE5:AE24,AE25:AE29,AE30:AE39)</f>
        <v>10.267166311101912</v>
      </c>
      <c r="AZ46" s="42">
        <f>GEOMEAN(AZ5:AZ24,AZ25:AZ29,AZ30:AZ39)</f>
        <v>437.06270434605278</v>
      </c>
      <c r="BA46" s="42">
        <f>GEOMEAN(BA5:BA24,BA25:BA29,BA30:BA39)</f>
        <v>399.30448954666218</v>
      </c>
      <c r="BB46" s="42">
        <f>GEOMEAN(BB5:BB24,BB25:BB29,BB30:BB39)</f>
        <v>1502.6505241453974</v>
      </c>
      <c r="BC46" s="42">
        <f>GEOMEAN(BC5:BC24,BC25:BC29,BC30:BC39)</f>
        <v>10.256399033543513</v>
      </c>
    </row>
    <row r="47" spans="1:81" ht="27" outlineLevel="2" collapsed="1" x14ac:dyDescent="0.15">
      <c r="B47" s="40" t="s">
        <v>155</v>
      </c>
      <c r="AZ47" s="47">
        <f>AZ46/AB46</f>
        <v>0.80990275507654419</v>
      </c>
      <c r="BA47" s="47">
        <f>BA46/AC46</f>
        <v>0.82165805714909357</v>
      </c>
      <c r="BB47" s="47">
        <f>BB46/AD46</f>
        <v>0.88728728615694752</v>
      </c>
      <c r="BC47" s="47">
        <f>BC46/AE46</f>
        <v>0.99895129023606477</v>
      </c>
    </row>
  </sheetData>
  <mergeCells count="45">
    <mergeCell ref="Q2:Q3"/>
    <mergeCell ref="A1:G1"/>
    <mergeCell ref="I1:AE1"/>
    <mergeCell ref="AG1:BC1"/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AO2:AO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BL2:BN2"/>
    <mergeCell ref="AP2:AP3"/>
    <mergeCell ref="AQ2:AT2"/>
    <mergeCell ref="AU2:AV2"/>
    <mergeCell ref="AW2:AY2"/>
    <mergeCell ref="AZ2:BA2"/>
    <mergeCell ref="BB2:BC2"/>
    <mergeCell ref="BE2:BE3"/>
    <mergeCell ref="BF2:BF3"/>
    <mergeCell ref="BG2:BG3"/>
    <mergeCell ref="BH2:BH3"/>
    <mergeCell ref="BJ2:BK2"/>
    <mergeCell ref="BP2:BQ2"/>
    <mergeCell ref="BR2:BT2"/>
    <mergeCell ref="BV2:BY2"/>
    <mergeCell ref="BZ2:CC2"/>
    <mergeCell ref="CD2:CF2"/>
  </mergeCells>
  <phoneticPr fontId="2" type="noConversion"/>
  <conditionalFormatting sqref="BE5:BE43">
    <cfRule type="cellIs" dxfId="21" priority="1" operator="greaterThanOrEqual">
      <formula>1.03</formula>
    </cfRule>
    <cfRule type="cellIs" dxfId="20" priority="2" operator="lessThanOrEqual">
      <formula>0.97</formula>
    </cfRule>
  </conditionalFormatting>
  <conditionalFormatting sqref="BJ5:BJ43">
    <cfRule type="cellIs" dxfId="19" priority="21" operator="greaterThanOrEqual">
      <formula>0.03</formula>
    </cfRule>
    <cfRule type="cellIs" dxfId="18" priority="22" operator="lessThanOrEqual">
      <formula>-0.03</formula>
    </cfRule>
  </conditionalFormatting>
  <conditionalFormatting sqref="BK5:BK43">
    <cfRule type="cellIs" dxfId="17" priority="19" operator="greaterThanOrEqual">
      <formula>0.03</formula>
    </cfRule>
    <cfRule type="cellIs" dxfId="16" priority="20" operator="lessThanOrEqual">
      <formula>-0.03</formula>
    </cfRule>
  </conditionalFormatting>
  <conditionalFormatting sqref="BL5:BL43">
    <cfRule type="cellIs" dxfId="15" priority="5" operator="greaterThanOrEqual">
      <formula>0.03</formula>
    </cfRule>
    <cfRule type="cellIs" dxfId="14" priority="6" operator="lessThanOrEqual">
      <formula>-0.03</formula>
    </cfRule>
  </conditionalFormatting>
  <conditionalFormatting sqref="BM5:BM43">
    <cfRule type="cellIs" dxfId="13" priority="9" operator="greaterThanOrEqual">
      <formula>0.03</formula>
    </cfRule>
    <cfRule type="cellIs" dxfId="12" priority="10" operator="lessThanOrEqual">
      <formula>-0.03</formula>
    </cfRule>
  </conditionalFormatting>
  <conditionalFormatting sqref="BN5:BN43">
    <cfRule type="cellIs" dxfId="11" priority="11" operator="greaterThanOrEqual">
      <formula>0.03</formula>
    </cfRule>
    <cfRule type="cellIs" dxfId="10" priority="12" operator="lessThanOrEqual">
      <formula>-0.03</formula>
    </cfRule>
  </conditionalFormatting>
  <conditionalFormatting sqref="BP5:BP43">
    <cfRule type="cellIs" dxfId="9" priority="7" operator="greaterThanOrEqual">
      <formula>0.03</formula>
    </cfRule>
    <cfRule type="cellIs" dxfId="8" priority="8" operator="lessThanOrEqual">
      <formula>-0.03</formula>
    </cfRule>
  </conditionalFormatting>
  <conditionalFormatting sqref="BQ5:BQ43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BR5:BR43">
    <cfRule type="cellIs" dxfId="5" priority="3" operator="greaterThanOrEqual">
      <formula>0.03</formula>
    </cfRule>
    <cfRule type="cellIs" dxfId="4" priority="4" operator="lessThanOrEqual">
      <formula>-0.03</formula>
    </cfRule>
  </conditionalFormatting>
  <conditionalFormatting sqref="BS5:BS43">
    <cfRule type="cellIs" dxfId="3" priority="15" operator="greaterThanOrEqual">
      <formula>0.03</formula>
    </cfRule>
    <cfRule type="cellIs" dxfId="2" priority="16" operator="lessThanOrEqual">
      <formula>-0.03</formula>
    </cfRule>
  </conditionalFormatting>
  <conditionalFormatting sqref="BT5:BT43">
    <cfRule type="cellIs" dxfId="1" priority="17" operator="greaterThanOrEqual">
      <formula>0.03</formula>
    </cfRule>
    <cfRule type="cellIs" dxfId="0" priority="1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286"/>
  <sheetViews>
    <sheetView workbookViewId="0"/>
  </sheetViews>
  <sheetFormatPr defaultRowHeight="13.5" x14ac:dyDescent="0.15"/>
  <sheetData>
    <row r="1" spans="1:2" x14ac:dyDescent="0.15">
      <c r="A1" t="s">
        <v>156</v>
      </c>
      <c r="B1">
        <v>1</v>
      </c>
    </row>
    <row r="2" spans="1:2" x14ac:dyDescent="0.15">
      <c r="A2" t="s">
        <v>157</v>
      </c>
      <c r="B2">
        <v>2</v>
      </c>
    </row>
    <row r="3" spans="1:2" x14ac:dyDescent="0.15">
      <c r="A3" t="s">
        <v>158</v>
      </c>
      <c r="B3">
        <v>3</v>
      </c>
    </row>
    <row r="4" spans="1:2" x14ac:dyDescent="0.15">
      <c r="A4" t="s">
        <v>159</v>
      </c>
      <c r="B4">
        <v>4</v>
      </c>
    </row>
    <row r="5" spans="1:2" x14ac:dyDescent="0.15">
      <c r="A5" t="s">
        <v>160</v>
      </c>
      <c r="B5">
        <v>5</v>
      </c>
    </row>
    <row r="6" spans="1:2" x14ac:dyDescent="0.15">
      <c r="A6" t="s">
        <v>161</v>
      </c>
      <c r="B6">
        <v>6</v>
      </c>
    </row>
    <row r="7" spans="1:2" x14ac:dyDescent="0.15">
      <c r="A7" t="s">
        <v>162</v>
      </c>
      <c r="B7">
        <v>7</v>
      </c>
    </row>
    <row r="8" spans="1:2" x14ac:dyDescent="0.15">
      <c r="A8" t="s">
        <v>163</v>
      </c>
      <c r="B8">
        <v>9</v>
      </c>
    </row>
    <row r="9" spans="1:2" x14ac:dyDescent="0.15">
      <c r="A9" t="s">
        <v>164</v>
      </c>
      <c r="B9">
        <v>10</v>
      </c>
    </row>
    <row r="10" spans="1:2" x14ac:dyDescent="0.15">
      <c r="A10" t="s">
        <v>165</v>
      </c>
      <c r="B10">
        <v>11</v>
      </c>
    </row>
    <row r="11" spans="1:2" x14ac:dyDescent="0.15">
      <c r="A11" t="s">
        <v>166</v>
      </c>
      <c r="B11">
        <v>12</v>
      </c>
    </row>
    <row r="12" spans="1:2" x14ac:dyDescent="0.15">
      <c r="A12" t="s">
        <v>167</v>
      </c>
      <c r="B12">
        <v>13</v>
      </c>
    </row>
    <row r="13" spans="1:2" x14ac:dyDescent="0.15">
      <c r="A13" t="s">
        <v>168</v>
      </c>
      <c r="B13">
        <v>14</v>
      </c>
    </row>
    <row r="14" spans="1:2" x14ac:dyDescent="0.15">
      <c r="A14" t="s">
        <v>169</v>
      </c>
      <c r="B14">
        <v>15</v>
      </c>
    </row>
    <row r="15" spans="1:2" x14ac:dyDescent="0.15">
      <c r="A15" t="s">
        <v>170</v>
      </c>
      <c r="B15">
        <v>16</v>
      </c>
    </row>
    <row r="16" spans="1:2" x14ac:dyDescent="0.15">
      <c r="A16" t="s">
        <v>171</v>
      </c>
      <c r="B16">
        <v>17</v>
      </c>
    </row>
    <row r="17" spans="1:2" x14ac:dyDescent="0.15">
      <c r="A17" t="s">
        <v>172</v>
      </c>
      <c r="B17">
        <v>18</v>
      </c>
    </row>
    <row r="18" spans="1:2" x14ac:dyDescent="0.15">
      <c r="A18" t="s">
        <v>173</v>
      </c>
      <c r="B18">
        <v>19</v>
      </c>
    </row>
    <row r="19" spans="1:2" x14ac:dyDescent="0.15">
      <c r="A19" t="s">
        <v>174</v>
      </c>
      <c r="B19">
        <v>20</v>
      </c>
    </row>
    <row r="20" spans="1:2" x14ac:dyDescent="0.15">
      <c r="A20" t="s">
        <v>175</v>
      </c>
      <c r="B20">
        <v>21</v>
      </c>
    </row>
    <row r="21" spans="1:2" x14ac:dyDescent="0.15">
      <c r="A21" t="s">
        <v>176</v>
      </c>
      <c r="B21">
        <v>22</v>
      </c>
    </row>
    <row r="22" spans="1:2" x14ac:dyDescent="0.15">
      <c r="A22" t="s">
        <v>177</v>
      </c>
      <c r="B22">
        <v>23</v>
      </c>
    </row>
    <row r="23" spans="1:2" x14ac:dyDescent="0.15">
      <c r="A23" t="s">
        <v>178</v>
      </c>
      <c r="B23">
        <v>24</v>
      </c>
    </row>
    <row r="24" spans="1:2" x14ac:dyDescent="0.15">
      <c r="A24" t="s">
        <v>179</v>
      </c>
      <c r="B24">
        <v>25</v>
      </c>
    </row>
    <row r="25" spans="1:2" x14ac:dyDescent="0.15">
      <c r="A25" t="s">
        <v>180</v>
      </c>
      <c r="B25">
        <v>26</v>
      </c>
    </row>
    <row r="26" spans="1:2" x14ac:dyDescent="0.15">
      <c r="A26" t="s">
        <v>181</v>
      </c>
      <c r="B26">
        <v>27</v>
      </c>
    </row>
    <row r="27" spans="1:2" x14ac:dyDescent="0.15">
      <c r="A27" t="s">
        <v>182</v>
      </c>
      <c r="B27">
        <v>28</v>
      </c>
    </row>
    <row r="28" spans="1:2" x14ac:dyDescent="0.15">
      <c r="A28" t="s">
        <v>183</v>
      </c>
      <c r="B28">
        <v>29</v>
      </c>
    </row>
    <row r="29" spans="1:2" x14ac:dyDescent="0.15">
      <c r="A29" t="s">
        <v>184</v>
      </c>
      <c r="B29">
        <v>30</v>
      </c>
    </row>
    <row r="30" spans="1:2" x14ac:dyDescent="0.15">
      <c r="A30" t="s">
        <v>185</v>
      </c>
      <c r="B30">
        <v>31</v>
      </c>
    </row>
    <row r="31" spans="1:2" x14ac:dyDescent="0.15">
      <c r="A31" t="s">
        <v>186</v>
      </c>
      <c r="B31">
        <v>33</v>
      </c>
    </row>
    <row r="32" spans="1:2" x14ac:dyDescent="0.15">
      <c r="A32" t="s">
        <v>187</v>
      </c>
      <c r="B32">
        <v>34</v>
      </c>
    </row>
    <row r="33" spans="1:2" x14ac:dyDescent="0.15">
      <c r="A33" t="s">
        <v>188</v>
      </c>
      <c r="B33">
        <v>35</v>
      </c>
    </row>
    <row r="34" spans="1:2" x14ac:dyDescent="0.15">
      <c r="A34" t="s">
        <v>189</v>
      </c>
      <c r="B34">
        <v>36</v>
      </c>
    </row>
    <row r="35" spans="1:2" x14ac:dyDescent="0.15">
      <c r="A35" t="s">
        <v>190</v>
      </c>
      <c r="B35">
        <v>37</v>
      </c>
    </row>
    <row r="36" spans="1:2" x14ac:dyDescent="0.15">
      <c r="A36" t="s">
        <v>191</v>
      </c>
      <c r="B36">
        <v>38</v>
      </c>
    </row>
    <row r="37" spans="1:2" x14ac:dyDescent="0.15">
      <c r="A37" t="s">
        <v>192</v>
      </c>
      <c r="B37">
        <v>39</v>
      </c>
    </row>
    <row r="38" spans="1:2" x14ac:dyDescent="0.15">
      <c r="A38" t="s">
        <v>193</v>
      </c>
      <c r="B38">
        <v>40</v>
      </c>
    </row>
    <row r="39" spans="1:2" x14ac:dyDescent="0.15">
      <c r="A39" t="s">
        <v>194</v>
      </c>
      <c r="B39">
        <v>41</v>
      </c>
    </row>
    <row r="40" spans="1:2" x14ac:dyDescent="0.15">
      <c r="A40" t="s">
        <v>195</v>
      </c>
      <c r="B40">
        <v>42</v>
      </c>
    </row>
    <row r="41" spans="1:2" x14ac:dyDescent="0.15">
      <c r="A41" t="s">
        <v>196</v>
      </c>
      <c r="B41">
        <v>43</v>
      </c>
    </row>
    <row r="42" spans="1:2" x14ac:dyDescent="0.15">
      <c r="A42" t="s">
        <v>197</v>
      </c>
      <c r="B42">
        <v>44</v>
      </c>
    </row>
    <row r="43" spans="1:2" x14ac:dyDescent="0.15">
      <c r="A43" t="s">
        <v>198</v>
      </c>
      <c r="B43">
        <v>45</v>
      </c>
    </row>
    <row r="44" spans="1:2" x14ac:dyDescent="0.15">
      <c r="A44" t="s">
        <v>199</v>
      </c>
      <c r="B44">
        <v>46</v>
      </c>
    </row>
    <row r="45" spans="1:2" x14ac:dyDescent="0.15">
      <c r="A45" t="s">
        <v>200</v>
      </c>
      <c r="B45">
        <v>47</v>
      </c>
    </row>
    <row r="46" spans="1:2" x14ac:dyDescent="0.15">
      <c r="A46" t="s">
        <v>201</v>
      </c>
      <c r="B46">
        <v>48</v>
      </c>
    </row>
    <row r="47" spans="1:2" x14ac:dyDescent="0.15">
      <c r="A47" t="s">
        <v>202</v>
      </c>
      <c r="B47">
        <v>49</v>
      </c>
    </row>
    <row r="48" spans="1:2" x14ac:dyDescent="0.15">
      <c r="A48" t="s">
        <v>203</v>
      </c>
      <c r="B48">
        <v>50</v>
      </c>
    </row>
    <row r="49" spans="1:2" x14ac:dyDescent="0.15">
      <c r="A49" t="s">
        <v>204</v>
      </c>
      <c r="B49">
        <v>51</v>
      </c>
    </row>
    <row r="50" spans="1:2" x14ac:dyDescent="0.15">
      <c r="A50" t="s">
        <v>205</v>
      </c>
      <c r="B50">
        <v>52</v>
      </c>
    </row>
    <row r="51" spans="1:2" x14ac:dyDescent="0.15">
      <c r="A51" t="s">
        <v>206</v>
      </c>
      <c r="B51">
        <v>53</v>
      </c>
    </row>
    <row r="52" spans="1:2" x14ac:dyDescent="0.15">
      <c r="A52" t="s">
        <v>207</v>
      </c>
      <c r="B52">
        <v>54</v>
      </c>
    </row>
    <row r="53" spans="1:2" x14ac:dyDescent="0.15">
      <c r="A53" t="s">
        <v>208</v>
      </c>
      <c r="B53">
        <v>55</v>
      </c>
    </row>
    <row r="54" spans="1:2" x14ac:dyDescent="0.15">
      <c r="A54" t="s">
        <v>209</v>
      </c>
      <c r="B54">
        <v>57</v>
      </c>
    </row>
    <row r="55" spans="1:2" x14ac:dyDescent="0.15">
      <c r="A55" t="s">
        <v>210</v>
      </c>
      <c r="B55">
        <v>58</v>
      </c>
    </row>
    <row r="56" spans="1:2" x14ac:dyDescent="0.15">
      <c r="A56" t="s">
        <v>211</v>
      </c>
      <c r="B56">
        <v>59</v>
      </c>
    </row>
    <row r="57" spans="1:2" x14ac:dyDescent="0.15">
      <c r="A57" t="s">
        <v>212</v>
      </c>
      <c r="B57">
        <v>60</v>
      </c>
    </row>
    <row r="58" spans="1:2" x14ac:dyDescent="0.15">
      <c r="A58" t="s">
        <v>213</v>
      </c>
      <c r="B58">
        <v>62</v>
      </c>
    </row>
    <row r="59" spans="1:2" x14ac:dyDescent="0.15">
      <c r="A59" t="s">
        <v>214</v>
      </c>
      <c r="B59">
        <v>63</v>
      </c>
    </row>
    <row r="60" spans="1:2" x14ac:dyDescent="0.15">
      <c r="A60" t="s">
        <v>215</v>
      </c>
      <c r="B60">
        <v>64</v>
      </c>
    </row>
    <row r="61" spans="1:2" x14ac:dyDescent="0.15">
      <c r="A61" t="s">
        <v>216</v>
      </c>
      <c r="B61">
        <v>65</v>
      </c>
    </row>
    <row r="62" spans="1:2" x14ac:dyDescent="0.15">
      <c r="A62" t="s">
        <v>217</v>
      </c>
      <c r="B62">
        <v>66</v>
      </c>
    </row>
    <row r="63" spans="1:2" x14ac:dyDescent="0.15">
      <c r="A63" t="s">
        <v>218</v>
      </c>
      <c r="B63">
        <v>68</v>
      </c>
    </row>
    <row r="64" spans="1:2" x14ac:dyDescent="0.15">
      <c r="A64" t="s">
        <v>219</v>
      </c>
      <c r="B64">
        <v>69</v>
      </c>
    </row>
    <row r="65" spans="1:24" x14ac:dyDescent="0.15">
      <c r="A65" t="s">
        <v>220</v>
      </c>
      <c r="B65">
        <v>70</v>
      </c>
    </row>
    <row r="66" spans="1:24" x14ac:dyDescent="0.15">
      <c r="A66" t="s">
        <v>221</v>
      </c>
      <c r="B66">
        <v>71</v>
      </c>
    </row>
    <row r="67" spans="1:24" x14ac:dyDescent="0.15">
      <c r="A67" t="s">
        <v>222</v>
      </c>
      <c r="B67">
        <v>72</v>
      </c>
    </row>
    <row r="68" spans="1:24" x14ac:dyDescent="0.15">
      <c r="A68" t="s">
        <v>223</v>
      </c>
      <c r="B68" t="s">
        <v>224</v>
      </c>
    </row>
    <row r="69" spans="1:24" x14ac:dyDescent="0.15">
      <c r="A69" t="s">
        <v>225</v>
      </c>
      <c r="B69" t="s">
        <v>226</v>
      </c>
    </row>
    <row r="70" spans="1:24" x14ac:dyDescent="0.15">
      <c r="A70" t="s">
        <v>227</v>
      </c>
      <c r="B70" t="s">
        <v>228</v>
      </c>
    </row>
    <row r="71" spans="1:24" x14ac:dyDescent="0.15">
      <c r="A71" t="s">
        <v>229</v>
      </c>
      <c r="B71" t="s">
        <v>230</v>
      </c>
    </row>
    <row r="72" spans="1:24" x14ac:dyDescent="0.15">
      <c r="A72" t="s">
        <v>231</v>
      </c>
      <c r="B72" t="s">
        <v>232</v>
      </c>
    </row>
    <row r="73" spans="1:24" x14ac:dyDescent="0.15">
      <c r="A73" t="s">
        <v>233</v>
      </c>
      <c r="B73" t="s">
        <v>234</v>
      </c>
    </row>
    <row r="74" spans="1:24" x14ac:dyDescent="0.15">
      <c r="A74" t="s">
        <v>235</v>
      </c>
      <c r="B74" t="s">
        <v>236</v>
      </c>
    </row>
    <row r="75" spans="1:24" x14ac:dyDescent="0.15">
      <c r="A75" t="s">
        <v>237</v>
      </c>
      <c r="B75" t="s">
        <v>238</v>
      </c>
    </row>
    <row r="76" spans="1:24" x14ac:dyDescent="0.15">
      <c r="A76" t="s">
        <v>239</v>
      </c>
      <c r="B76" t="s">
        <v>240</v>
      </c>
    </row>
    <row r="77" spans="1:24" x14ac:dyDescent="0.15">
      <c r="A77" t="s">
        <v>241</v>
      </c>
      <c r="B77" t="s">
        <v>43</v>
      </c>
      <c r="C77" t="s">
        <v>40</v>
      </c>
      <c r="D77" t="s">
        <v>25</v>
      </c>
      <c r="E77" t="s">
        <v>36</v>
      </c>
      <c r="F77" t="s">
        <v>47</v>
      </c>
      <c r="G77" t="s">
        <v>45</v>
      </c>
      <c r="H77" t="s">
        <v>34</v>
      </c>
      <c r="I77" t="s">
        <v>32</v>
      </c>
      <c r="J77" t="s">
        <v>37</v>
      </c>
      <c r="K77" t="s">
        <v>42</v>
      </c>
      <c r="L77" t="s">
        <v>38</v>
      </c>
      <c r="M77" t="s">
        <v>16</v>
      </c>
      <c r="N77" t="s">
        <v>22</v>
      </c>
      <c r="O77" t="s">
        <v>18</v>
      </c>
      <c r="P77" t="s">
        <v>24</v>
      </c>
      <c r="Q77" t="s">
        <v>46</v>
      </c>
      <c r="R77" t="s">
        <v>39</v>
      </c>
      <c r="S77" t="s">
        <v>48</v>
      </c>
      <c r="T77" t="s">
        <v>19</v>
      </c>
      <c r="U77" t="s">
        <v>44</v>
      </c>
      <c r="V77" t="s">
        <v>41</v>
      </c>
      <c r="W77" t="s">
        <v>30</v>
      </c>
      <c r="X77" t="s">
        <v>21</v>
      </c>
    </row>
    <row r="78" spans="1:24" x14ac:dyDescent="0.15">
      <c r="A78" t="s">
        <v>242</v>
      </c>
      <c r="B78">
        <v>1</v>
      </c>
    </row>
    <row r="79" spans="1:24" x14ac:dyDescent="0.15">
      <c r="A79" t="s">
        <v>243</v>
      </c>
      <c r="B79">
        <v>2</v>
      </c>
    </row>
    <row r="80" spans="1:24" x14ac:dyDescent="0.15">
      <c r="A80" t="s">
        <v>244</v>
      </c>
      <c r="B80">
        <v>3</v>
      </c>
    </row>
    <row r="81" spans="1:2" x14ac:dyDescent="0.15">
      <c r="A81" t="s">
        <v>245</v>
      </c>
      <c r="B81">
        <v>4</v>
      </c>
    </row>
    <row r="82" spans="1:2" x14ac:dyDescent="0.15">
      <c r="A82" t="s">
        <v>246</v>
      </c>
      <c r="B82">
        <v>5</v>
      </c>
    </row>
    <row r="83" spans="1:2" x14ac:dyDescent="0.15">
      <c r="A83" t="s">
        <v>247</v>
      </c>
      <c r="B83">
        <v>6</v>
      </c>
    </row>
    <row r="84" spans="1:2" x14ac:dyDescent="0.15">
      <c r="A84" t="s">
        <v>248</v>
      </c>
      <c r="B84">
        <v>8</v>
      </c>
    </row>
    <row r="85" spans="1:2" x14ac:dyDescent="0.15">
      <c r="A85" t="s">
        <v>249</v>
      </c>
      <c r="B85">
        <v>9</v>
      </c>
    </row>
    <row r="86" spans="1:2" x14ac:dyDescent="0.15">
      <c r="A86" t="s">
        <v>250</v>
      </c>
      <c r="B86">
        <v>10</v>
      </c>
    </row>
    <row r="87" spans="1:2" x14ac:dyDescent="0.15">
      <c r="A87" t="s">
        <v>251</v>
      </c>
      <c r="B87">
        <v>11</v>
      </c>
    </row>
    <row r="88" spans="1:2" x14ac:dyDescent="0.15">
      <c r="A88" t="s">
        <v>252</v>
      </c>
      <c r="B88">
        <v>12</v>
      </c>
    </row>
    <row r="89" spans="1:2" x14ac:dyDescent="0.15">
      <c r="A89" t="s">
        <v>253</v>
      </c>
      <c r="B89">
        <v>13</v>
      </c>
    </row>
    <row r="90" spans="1:2" x14ac:dyDescent="0.15">
      <c r="A90" t="s">
        <v>254</v>
      </c>
      <c r="B90">
        <v>14</v>
      </c>
    </row>
    <row r="91" spans="1:2" x14ac:dyDescent="0.15">
      <c r="A91" t="s">
        <v>255</v>
      </c>
      <c r="B91">
        <v>15</v>
      </c>
    </row>
    <row r="92" spans="1:2" x14ac:dyDescent="0.15">
      <c r="A92" t="s">
        <v>256</v>
      </c>
      <c r="B92">
        <v>16</v>
      </c>
    </row>
    <row r="93" spans="1:2" x14ac:dyDescent="0.15">
      <c r="A93" t="s">
        <v>257</v>
      </c>
      <c r="B93">
        <v>17</v>
      </c>
    </row>
    <row r="94" spans="1:2" x14ac:dyDescent="0.15">
      <c r="A94" t="s">
        <v>258</v>
      </c>
      <c r="B94">
        <v>18</v>
      </c>
    </row>
    <row r="95" spans="1:2" x14ac:dyDescent="0.15">
      <c r="A95" t="s">
        <v>259</v>
      </c>
      <c r="B95">
        <v>19</v>
      </c>
    </row>
    <row r="96" spans="1:2" x14ac:dyDescent="0.15">
      <c r="A96" t="s">
        <v>260</v>
      </c>
      <c r="B96">
        <v>20</v>
      </c>
    </row>
    <row r="97" spans="1:2" x14ac:dyDescent="0.15">
      <c r="A97" t="s">
        <v>261</v>
      </c>
      <c r="B97">
        <v>21</v>
      </c>
    </row>
    <row r="98" spans="1:2" x14ac:dyDescent="0.15">
      <c r="A98" t="s">
        <v>262</v>
      </c>
      <c r="B98">
        <v>22</v>
      </c>
    </row>
    <row r="99" spans="1:2" x14ac:dyDescent="0.15">
      <c r="A99" t="s">
        <v>263</v>
      </c>
      <c r="B99">
        <v>23</v>
      </c>
    </row>
    <row r="100" spans="1:2" x14ac:dyDescent="0.15">
      <c r="A100" t="s">
        <v>264</v>
      </c>
      <c r="B100">
        <v>24</v>
      </c>
    </row>
    <row r="101" spans="1:2" x14ac:dyDescent="0.15">
      <c r="A101" t="s">
        <v>265</v>
      </c>
      <c r="B101">
        <v>25</v>
      </c>
    </row>
    <row r="102" spans="1:2" x14ac:dyDescent="0.15">
      <c r="A102" t="s">
        <v>266</v>
      </c>
      <c r="B102">
        <v>26</v>
      </c>
    </row>
    <row r="103" spans="1:2" x14ac:dyDescent="0.15">
      <c r="A103" t="s">
        <v>267</v>
      </c>
      <c r="B103">
        <v>27</v>
      </c>
    </row>
    <row r="104" spans="1:2" x14ac:dyDescent="0.15">
      <c r="A104" t="s">
        <v>268</v>
      </c>
      <c r="B104">
        <v>28</v>
      </c>
    </row>
    <row r="105" spans="1:2" x14ac:dyDescent="0.15">
      <c r="A105" t="s">
        <v>269</v>
      </c>
      <c r="B105">
        <v>29</v>
      </c>
    </row>
    <row r="106" spans="1:2" x14ac:dyDescent="0.15">
      <c r="A106" t="s">
        <v>270</v>
      </c>
      <c r="B106">
        <v>31</v>
      </c>
    </row>
    <row r="107" spans="1:2" x14ac:dyDescent="0.15">
      <c r="A107" t="s">
        <v>271</v>
      </c>
      <c r="B107">
        <v>32</v>
      </c>
    </row>
    <row r="108" spans="1:2" x14ac:dyDescent="0.15">
      <c r="A108" t="s">
        <v>272</v>
      </c>
      <c r="B108">
        <v>33</v>
      </c>
    </row>
    <row r="109" spans="1:2" x14ac:dyDescent="0.15">
      <c r="A109" t="s">
        <v>273</v>
      </c>
      <c r="B109">
        <v>34</v>
      </c>
    </row>
    <row r="110" spans="1:2" x14ac:dyDescent="0.15">
      <c r="A110" t="s">
        <v>274</v>
      </c>
      <c r="B110">
        <v>35</v>
      </c>
    </row>
    <row r="111" spans="1:2" x14ac:dyDescent="0.15">
      <c r="A111" t="s">
        <v>275</v>
      </c>
      <c r="B111">
        <v>36</v>
      </c>
    </row>
    <row r="112" spans="1:2" x14ac:dyDescent="0.15">
      <c r="A112" t="s">
        <v>276</v>
      </c>
      <c r="B112">
        <v>37</v>
      </c>
    </row>
    <row r="113" spans="1:2" x14ac:dyDescent="0.15">
      <c r="A113" t="s">
        <v>277</v>
      </c>
      <c r="B113">
        <v>38</v>
      </c>
    </row>
    <row r="114" spans="1:2" x14ac:dyDescent="0.15">
      <c r="A114" t="s">
        <v>278</v>
      </c>
      <c r="B114">
        <v>39</v>
      </c>
    </row>
    <row r="115" spans="1:2" x14ac:dyDescent="0.15">
      <c r="A115" t="s">
        <v>279</v>
      </c>
      <c r="B115">
        <v>40</v>
      </c>
    </row>
    <row r="116" spans="1:2" x14ac:dyDescent="0.15">
      <c r="A116" t="s">
        <v>280</v>
      </c>
      <c r="B116">
        <v>41</v>
      </c>
    </row>
    <row r="117" spans="1:2" x14ac:dyDescent="0.15">
      <c r="A117" t="s">
        <v>281</v>
      </c>
      <c r="B117">
        <v>42</v>
      </c>
    </row>
    <row r="118" spans="1:2" x14ac:dyDescent="0.15">
      <c r="A118" t="s">
        <v>282</v>
      </c>
      <c r="B118">
        <v>43</v>
      </c>
    </row>
    <row r="119" spans="1:2" x14ac:dyDescent="0.15">
      <c r="A119" t="s">
        <v>283</v>
      </c>
      <c r="B119">
        <v>44</v>
      </c>
    </row>
    <row r="120" spans="1:2" x14ac:dyDescent="0.15">
      <c r="A120" t="s">
        <v>284</v>
      </c>
      <c r="B120">
        <v>45</v>
      </c>
    </row>
    <row r="121" spans="1:2" x14ac:dyDescent="0.15">
      <c r="A121" t="s">
        <v>285</v>
      </c>
      <c r="B121">
        <v>46</v>
      </c>
    </row>
    <row r="122" spans="1:2" x14ac:dyDescent="0.15">
      <c r="A122" t="s">
        <v>286</v>
      </c>
      <c r="B122">
        <v>47</v>
      </c>
    </row>
    <row r="123" spans="1:2" x14ac:dyDescent="0.15">
      <c r="A123" t="s">
        <v>287</v>
      </c>
      <c r="B123">
        <v>48</v>
      </c>
    </row>
    <row r="124" spans="1:2" x14ac:dyDescent="0.15">
      <c r="A124" t="s">
        <v>288</v>
      </c>
      <c r="B124">
        <v>49</v>
      </c>
    </row>
    <row r="125" spans="1:2" x14ac:dyDescent="0.15">
      <c r="A125" t="s">
        <v>289</v>
      </c>
      <c r="B125">
        <v>50</v>
      </c>
    </row>
    <row r="126" spans="1:2" x14ac:dyDescent="0.15">
      <c r="A126" t="s">
        <v>290</v>
      </c>
      <c r="B126">
        <v>51</v>
      </c>
    </row>
    <row r="127" spans="1:2" x14ac:dyDescent="0.15">
      <c r="A127" t="s">
        <v>291</v>
      </c>
      <c r="B127">
        <v>52</v>
      </c>
    </row>
    <row r="128" spans="1:2" x14ac:dyDescent="0.15">
      <c r="A128" t="s">
        <v>292</v>
      </c>
      <c r="B128">
        <v>54</v>
      </c>
    </row>
    <row r="129" spans="1:23" x14ac:dyDescent="0.15">
      <c r="A129" t="s">
        <v>293</v>
      </c>
      <c r="B129">
        <v>55</v>
      </c>
    </row>
    <row r="130" spans="1:23" x14ac:dyDescent="0.15">
      <c r="A130" t="s">
        <v>294</v>
      </c>
      <c r="B130">
        <v>56</v>
      </c>
    </row>
    <row r="131" spans="1:23" x14ac:dyDescent="0.15">
      <c r="A131" t="s">
        <v>295</v>
      </c>
      <c r="B131">
        <v>57</v>
      </c>
    </row>
    <row r="132" spans="1:23" x14ac:dyDescent="0.15">
      <c r="A132" t="s">
        <v>296</v>
      </c>
      <c r="B132">
        <v>58</v>
      </c>
    </row>
    <row r="133" spans="1:23" x14ac:dyDescent="0.15">
      <c r="A133" t="s">
        <v>297</v>
      </c>
      <c r="B133">
        <v>59</v>
      </c>
    </row>
    <row r="134" spans="1:23" x14ac:dyDescent="0.15">
      <c r="A134" t="s">
        <v>298</v>
      </c>
      <c r="B134" t="s">
        <v>299</v>
      </c>
    </row>
    <row r="135" spans="1:23" x14ac:dyDescent="0.15">
      <c r="A135" t="s">
        <v>300</v>
      </c>
      <c r="B135" t="s">
        <v>301</v>
      </c>
    </row>
    <row r="136" spans="1:23" x14ac:dyDescent="0.15">
      <c r="A136" t="s">
        <v>302</v>
      </c>
      <c r="B136" t="s">
        <v>303</v>
      </c>
    </row>
    <row r="137" spans="1:23" x14ac:dyDescent="0.15">
      <c r="A137" t="s">
        <v>304</v>
      </c>
      <c r="B137" t="s">
        <v>305</v>
      </c>
    </row>
    <row r="138" spans="1:23" x14ac:dyDescent="0.15">
      <c r="A138" t="s">
        <v>306</v>
      </c>
      <c r="B138" t="s">
        <v>307</v>
      </c>
    </row>
    <row r="139" spans="1:23" x14ac:dyDescent="0.15">
      <c r="A139" t="s">
        <v>308</v>
      </c>
      <c r="B139" t="s">
        <v>309</v>
      </c>
    </row>
    <row r="140" spans="1:23" x14ac:dyDescent="0.15">
      <c r="A140" t="s">
        <v>310</v>
      </c>
      <c r="B140" t="s">
        <v>311</v>
      </c>
    </row>
    <row r="141" spans="1:23" x14ac:dyDescent="0.15">
      <c r="A141" t="s">
        <v>312</v>
      </c>
      <c r="B141" t="s">
        <v>313</v>
      </c>
    </row>
    <row r="142" spans="1:23" x14ac:dyDescent="0.15">
      <c r="A142" t="s">
        <v>314</v>
      </c>
      <c r="B142" t="s">
        <v>315</v>
      </c>
    </row>
    <row r="143" spans="1:23" x14ac:dyDescent="0.15">
      <c r="A143" t="s">
        <v>316</v>
      </c>
      <c r="B143" t="s">
        <v>25</v>
      </c>
      <c r="C143" t="s">
        <v>47</v>
      </c>
      <c r="D143" t="s">
        <v>39</v>
      </c>
      <c r="E143" t="s">
        <v>19</v>
      </c>
      <c r="F143" t="s">
        <v>48</v>
      </c>
      <c r="G143" t="s">
        <v>49</v>
      </c>
      <c r="H143" t="s">
        <v>44</v>
      </c>
      <c r="I143" t="s">
        <v>36</v>
      </c>
      <c r="J143" t="s">
        <v>41</v>
      </c>
      <c r="K143" t="s">
        <v>45</v>
      </c>
      <c r="L143" t="s">
        <v>43</v>
      </c>
      <c r="M143" t="s">
        <v>24</v>
      </c>
      <c r="N143" t="s">
        <v>32</v>
      </c>
      <c r="O143" t="s">
        <v>46</v>
      </c>
      <c r="P143" t="s">
        <v>40</v>
      </c>
      <c r="Q143" t="s">
        <v>38</v>
      </c>
      <c r="R143" t="s">
        <v>16</v>
      </c>
      <c r="S143" t="s">
        <v>18</v>
      </c>
      <c r="T143" t="s">
        <v>22</v>
      </c>
      <c r="U143" t="s">
        <v>37</v>
      </c>
      <c r="V143" t="s">
        <v>21</v>
      </c>
      <c r="W143" t="s">
        <v>42</v>
      </c>
    </row>
    <row r="144" spans="1:23" x14ac:dyDescent="0.15">
      <c r="A144" t="s">
        <v>317</v>
      </c>
      <c r="B144">
        <v>1</v>
      </c>
    </row>
    <row r="145" spans="1:2" x14ac:dyDescent="0.15">
      <c r="A145" t="s">
        <v>318</v>
      </c>
      <c r="B145">
        <v>2</v>
      </c>
    </row>
    <row r="146" spans="1:2" x14ac:dyDescent="0.15">
      <c r="A146" t="s">
        <v>319</v>
      </c>
      <c r="B146">
        <v>3</v>
      </c>
    </row>
    <row r="147" spans="1:2" x14ac:dyDescent="0.15">
      <c r="A147" t="s">
        <v>320</v>
      </c>
      <c r="B147">
        <v>4</v>
      </c>
    </row>
    <row r="148" spans="1:2" x14ac:dyDescent="0.15">
      <c r="A148" t="s">
        <v>321</v>
      </c>
      <c r="B148">
        <v>5</v>
      </c>
    </row>
    <row r="149" spans="1:2" x14ac:dyDescent="0.15">
      <c r="A149" t="s">
        <v>322</v>
      </c>
      <c r="B149">
        <v>6</v>
      </c>
    </row>
    <row r="150" spans="1:2" x14ac:dyDescent="0.15">
      <c r="A150" t="s">
        <v>323</v>
      </c>
      <c r="B150">
        <v>8</v>
      </c>
    </row>
    <row r="151" spans="1:2" x14ac:dyDescent="0.15">
      <c r="A151" t="s">
        <v>324</v>
      </c>
      <c r="B151">
        <v>9</v>
      </c>
    </row>
    <row r="152" spans="1:2" x14ac:dyDescent="0.15">
      <c r="A152" t="s">
        <v>325</v>
      </c>
      <c r="B152">
        <v>10</v>
      </c>
    </row>
    <row r="153" spans="1:2" x14ac:dyDescent="0.15">
      <c r="A153" t="s">
        <v>326</v>
      </c>
      <c r="B153">
        <v>11</v>
      </c>
    </row>
    <row r="154" spans="1:2" x14ac:dyDescent="0.15">
      <c r="A154" t="s">
        <v>327</v>
      </c>
      <c r="B154">
        <v>12</v>
      </c>
    </row>
    <row r="155" spans="1:2" x14ac:dyDescent="0.15">
      <c r="A155" t="s">
        <v>328</v>
      </c>
      <c r="B155">
        <v>13</v>
      </c>
    </row>
    <row r="156" spans="1:2" x14ac:dyDescent="0.15">
      <c r="A156" t="s">
        <v>329</v>
      </c>
      <c r="B156">
        <v>14</v>
      </c>
    </row>
    <row r="157" spans="1:2" x14ac:dyDescent="0.15">
      <c r="A157" t="s">
        <v>330</v>
      </c>
      <c r="B157">
        <v>15</v>
      </c>
    </row>
    <row r="158" spans="1:2" x14ac:dyDescent="0.15">
      <c r="A158" t="s">
        <v>331</v>
      </c>
      <c r="B158">
        <v>16</v>
      </c>
    </row>
    <row r="159" spans="1:2" x14ac:dyDescent="0.15">
      <c r="A159" t="s">
        <v>332</v>
      </c>
      <c r="B159">
        <v>17</v>
      </c>
    </row>
    <row r="160" spans="1:2" x14ac:dyDescent="0.15">
      <c r="A160" t="s">
        <v>333</v>
      </c>
      <c r="B160">
        <v>18</v>
      </c>
    </row>
    <row r="161" spans="1:2" x14ac:dyDescent="0.15">
      <c r="A161" t="s">
        <v>334</v>
      </c>
      <c r="B161">
        <v>19</v>
      </c>
    </row>
    <row r="162" spans="1:2" x14ac:dyDescent="0.15">
      <c r="A162" t="s">
        <v>335</v>
      </c>
      <c r="B162">
        <v>20</v>
      </c>
    </row>
    <row r="163" spans="1:2" x14ac:dyDescent="0.15">
      <c r="A163" t="s">
        <v>336</v>
      </c>
      <c r="B163">
        <v>21</v>
      </c>
    </row>
    <row r="164" spans="1:2" x14ac:dyDescent="0.15">
      <c r="A164" t="s">
        <v>337</v>
      </c>
      <c r="B164">
        <v>22</v>
      </c>
    </row>
    <row r="165" spans="1:2" x14ac:dyDescent="0.15">
      <c r="A165" t="s">
        <v>338</v>
      </c>
      <c r="B165">
        <v>23</v>
      </c>
    </row>
    <row r="166" spans="1:2" x14ac:dyDescent="0.15">
      <c r="A166" t="s">
        <v>339</v>
      </c>
      <c r="B166">
        <v>24</v>
      </c>
    </row>
    <row r="167" spans="1:2" x14ac:dyDescent="0.15">
      <c r="A167" t="s">
        <v>340</v>
      </c>
      <c r="B167">
        <v>25</v>
      </c>
    </row>
    <row r="168" spans="1:2" x14ac:dyDescent="0.15">
      <c r="A168" t="s">
        <v>341</v>
      </c>
      <c r="B168">
        <v>26</v>
      </c>
    </row>
    <row r="169" spans="1:2" x14ac:dyDescent="0.15">
      <c r="A169" t="s">
        <v>342</v>
      </c>
      <c r="B169">
        <v>27</v>
      </c>
    </row>
    <row r="170" spans="1:2" x14ac:dyDescent="0.15">
      <c r="A170" t="s">
        <v>343</v>
      </c>
      <c r="B170">
        <v>28</v>
      </c>
    </row>
    <row r="171" spans="1:2" x14ac:dyDescent="0.15">
      <c r="A171" t="s">
        <v>344</v>
      </c>
      <c r="B171">
        <v>29</v>
      </c>
    </row>
    <row r="172" spans="1:2" x14ac:dyDescent="0.15">
      <c r="A172" t="s">
        <v>345</v>
      </c>
      <c r="B172">
        <v>31</v>
      </c>
    </row>
    <row r="173" spans="1:2" x14ac:dyDescent="0.15">
      <c r="A173" t="s">
        <v>346</v>
      </c>
      <c r="B173">
        <v>32</v>
      </c>
    </row>
    <row r="174" spans="1:2" x14ac:dyDescent="0.15">
      <c r="A174" t="s">
        <v>347</v>
      </c>
      <c r="B174">
        <v>33</v>
      </c>
    </row>
    <row r="175" spans="1:2" x14ac:dyDescent="0.15">
      <c r="A175" t="s">
        <v>348</v>
      </c>
      <c r="B175">
        <v>34</v>
      </c>
    </row>
    <row r="176" spans="1:2" x14ac:dyDescent="0.15">
      <c r="A176" t="s">
        <v>349</v>
      </c>
      <c r="B176">
        <v>35</v>
      </c>
    </row>
    <row r="177" spans="1:2" x14ac:dyDescent="0.15">
      <c r="A177" t="s">
        <v>350</v>
      </c>
      <c r="B177">
        <v>36</v>
      </c>
    </row>
    <row r="178" spans="1:2" x14ac:dyDescent="0.15">
      <c r="A178" t="s">
        <v>351</v>
      </c>
      <c r="B178">
        <v>37</v>
      </c>
    </row>
    <row r="179" spans="1:2" x14ac:dyDescent="0.15">
      <c r="A179" t="s">
        <v>352</v>
      </c>
      <c r="B179">
        <v>38</v>
      </c>
    </row>
    <row r="180" spans="1:2" x14ac:dyDescent="0.15">
      <c r="A180" t="s">
        <v>353</v>
      </c>
      <c r="B180">
        <v>39</v>
      </c>
    </row>
    <row r="181" spans="1:2" x14ac:dyDescent="0.15">
      <c r="A181" t="s">
        <v>354</v>
      </c>
      <c r="B181">
        <v>40</v>
      </c>
    </row>
    <row r="182" spans="1:2" x14ac:dyDescent="0.15">
      <c r="A182" t="s">
        <v>355</v>
      </c>
      <c r="B182">
        <v>41</v>
      </c>
    </row>
    <row r="183" spans="1:2" x14ac:dyDescent="0.15">
      <c r="A183" t="s">
        <v>356</v>
      </c>
      <c r="B183">
        <v>42</v>
      </c>
    </row>
    <row r="184" spans="1:2" x14ac:dyDescent="0.15">
      <c r="A184" t="s">
        <v>357</v>
      </c>
      <c r="B184">
        <v>43</v>
      </c>
    </row>
    <row r="185" spans="1:2" x14ac:dyDescent="0.15">
      <c r="A185" t="s">
        <v>358</v>
      </c>
      <c r="B185">
        <v>44</v>
      </c>
    </row>
    <row r="186" spans="1:2" x14ac:dyDescent="0.15">
      <c r="A186" t="s">
        <v>359</v>
      </c>
      <c r="B186">
        <v>45</v>
      </c>
    </row>
    <row r="187" spans="1:2" x14ac:dyDescent="0.15">
      <c r="A187" t="s">
        <v>360</v>
      </c>
      <c r="B187">
        <v>46</v>
      </c>
    </row>
    <row r="188" spans="1:2" x14ac:dyDescent="0.15">
      <c r="A188" t="s">
        <v>361</v>
      </c>
      <c r="B188">
        <v>47</v>
      </c>
    </row>
    <row r="189" spans="1:2" x14ac:dyDescent="0.15">
      <c r="A189" t="s">
        <v>362</v>
      </c>
      <c r="B189">
        <v>48</v>
      </c>
    </row>
    <row r="190" spans="1:2" x14ac:dyDescent="0.15">
      <c r="A190" t="s">
        <v>363</v>
      </c>
      <c r="B190">
        <v>49</v>
      </c>
    </row>
    <row r="191" spans="1:2" x14ac:dyDescent="0.15">
      <c r="A191" t="s">
        <v>364</v>
      </c>
      <c r="B191">
        <v>50</v>
      </c>
    </row>
    <row r="192" spans="1:2" x14ac:dyDescent="0.15">
      <c r="A192" t="s">
        <v>365</v>
      </c>
      <c r="B192">
        <v>51</v>
      </c>
    </row>
    <row r="193" spans="1:2" x14ac:dyDescent="0.15">
      <c r="A193" t="s">
        <v>366</v>
      </c>
      <c r="B193">
        <v>52</v>
      </c>
    </row>
    <row r="194" spans="1:2" x14ac:dyDescent="0.15">
      <c r="A194" t="s">
        <v>367</v>
      </c>
      <c r="B194">
        <v>54</v>
      </c>
    </row>
    <row r="195" spans="1:2" x14ac:dyDescent="0.15">
      <c r="A195" t="s">
        <v>368</v>
      </c>
      <c r="B195">
        <v>55</v>
      </c>
    </row>
    <row r="196" spans="1:2" x14ac:dyDescent="0.15">
      <c r="A196" t="s">
        <v>369</v>
      </c>
      <c r="B196">
        <v>56</v>
      </c>
    </row>
    <row r="197" spans="1:2" x14ac:dyDescent="0.15">
      <c r="A197" t="s">
        <v>370</v>
      </c>
      <c r="B197">
        <v>57</v>
      </c>
    </row>
    <row r="198" spans="1:2" x14ac:dyDescent="0.15">
      <c r="A198" t="s">
        <v>371</v>
      </c>
      <c r="B198">
        <v>58</v>
      </c>
    </row>
    <row r="199" spans="1:2" x14ac:dyDescent="0.15">
      <c r="A199" t="s">
        <v>372</v>
      </c>
      <c r="B199">
        <v>59</v>
      </c>
    </row>
    <row r="200" spans="1:2" x14ac:dyDescent="0.15">
      <c r="A200" t="s">
        <v>373</v>
      </c>
      <c r="B200" t="s">
        <v>374</v>
      </c>
    </row>
    <row r="201" spans="1:2" x14ac:dyDescent="0.15">
      <c r="A201" t="s">
        <v>375</v>
      </c>
      <c r="B201" t="s">
        <v>376</v>
      </c>
    </row>
    <row r="202" spans="1:2" x14ac:dyDescent="0.15">
      <c r="A202" t="s">
        <v>377</v>
      </c>
      <c r="B202" t="s">
        <v>378</v>
      </c>
    </row>
    <row r="203" spans="1:2" x14ac:dyDescent="0.15">
      <c r="A203" t="s">
        <v>379</v>
      </c>
      <c r="B203" t="s">
        <v>380</v>
      </c>
    </row>
    <row r="204" spans="1:2" x14ac:dyDescent="0.15">
      <c r="A204" t="s">
        <v>381</v>
      </c>
      <c r="B204" t="s">
        <v>382</v>
      </c>
    </row>
    <row r="205" spans="1:2" x14ac:dyDescent="0.15">
      <c r="A205" t="s">
        <v>383</v>
      </c>
      <c r="B205" t="s">
        <v>384</v>
      </c>
    </row>
    <row r="206" spans="1:2" x14ac:dyDescent="0.15">
      <c r="A206" t="s">
        <v>385</v>
      </c>
      <c r="B206" t="s">
        <v>386</v>
      </c>
    </row>
    <row r="207" spans="1:2" x14ac:dyDescent="0.15">
      <c r="A207" t="s">
        <v>387</v>
      </c>
      <c r="B207" t="s">
        <v>388</v>
      </c>
    </row>
    <row r="208" spans="1:2" x14ac:dyDescent="0.15">
      <c r="A208" t="s">
        <v>389</v>
      </c>
      <c r="B208" t="s">
        <v>390</v>
      </c>
    </row>
    <row r="209" spans="1:23" x14ac:dyDescent="0.15">
      <c r="A209" t="s">
        <v>391</v>
      </c>
      <c r="B209" t="s">
        <v>43</v>
      </c>
      <c r="C209" t="s">
        <v>46</v>
      </c>
      <c r="D209" t="s">
        <v>25</v>
      </c>
      <c r="E209" t="s">
        <v>40</v>
      </c>
      <c r="F209" t="s">
        <v>41</v>
      </c>
      <c r="G209" t="s">
        <v>36</v>
      </c>
      <c r="H209" t="s">
        <v>44</v>
      </c>
      <c r="I209" t="s">
        <v>49</v>
      </c>
      <c r="J209" t="s">
        <v>19</v>
      </c>
      <c r="K209" t="s">
        <v>48</v>
      </c>
      <c r="L209" t="s">
        <v>39</v>
      </c>
      <c r="M209" t="s">
        <v>47</v>
      </c>
      <c r="N209" t="s">
        <v>32</v>
      </c>
      <c r="O209" t="s">
        <v>45</v>
      </c>
      <c r="P209" t="s">
        <v>24</v>
      </c>
      <c r="Q209" t="s">
        <v>16</v>
      </c>
      <c r="R209" t="s">
        <v>22</v>
      </c>
      <c r="S209" t="s">
        <v>42</v>
      </c>
      <c r="T209" t="s">
        <v>37</v>
      </c>
      <c r="U209" t="s">
        <v>18</v>
      </c>
      <c r="V209" t="s">
        <v>38</v>
      </c>
      <c r="W209" t="s">
        <v>21</v>
      </c>
    </row>
    <row r="210" spans="1:23" x14ac:dyDescent="0.15">
      <c r="A210" t="s">
        <v>392</v>
      </c>
      <c r="B210">
        <v>1</v>
      </c>
    </row>
    <row r="211" spans="1:23" x14ac:dyDescent="0.15">
      <c r="A211" t="s">
        <v>393</v>
      </c>
      <c r="B211">
        <v>2</v>
      </c>
    </row>
    <row r="212" spans="1:23" x14ac:dyDescent="0.15">
      <c r="A212" t="s">
        <v>394</v>
      </c>
      <c r="B212">
        <v>3</v>
      </c>
    </row>
    <row r="213" spans="1:23" x14ac:dyDescent="0.15">
      <c r="A213" t="s">
        <v>395</v>
      </c>
      <c r="B213">
        <v>4</v>
      </c>
    </row>
    <row r="214" spans="1:23" x14ac:dyDescent="0.15">
      <c r="A214" t="s">
        <v>396</v>
      </c>
      <c r="B214">
        <v>5</v>
      </c>
    </row>
    <row r="215" spans="1:23" x14ac:dyDescent="0.15">
      <c r="A215" t="s">
        <v>397</v>
      </c>
      <c r="B215">
        <v>6</v>
      </c>
    </row>
    <row r="216" spans="1:23" x14ac:dyDescent="0.15">
      <c r="A216" t="s">
        <v>398</v>
      </c>
      <c r="B216">
        <v>7</v>
      </c>
    </row>
    <row r="217" spans="1:23" x14ac:dyDescent="0.15">
      <c r="A217" t="s">
        <v>399</v>
      </c>
      <c r="B217">
        <v>9</v>
      </c>
    </row>
    <row r="218" spans="1:23" x14ac:dyDescent="0.15">
      <c r="A218" t="s">
        <v>400</v>
      </c>
      <c r="B218">
        <v>10</v>
      </c>
    </row>
    <row r="219" spans="1:23" x14ac:dyDescent="0.15">
      <c r="A219" t="s">
        <v>401</v>
      </c>
      <c r="B219">
        <v>11</v>
      </c>
    </row>
    <row r="220" spans="1:23" x14ac:dyDescent="0.15">
      <c r="A220" t="s">
        <v>402</v>
      </c>
      <c r="B220">
        <v>12</v>
      </c>
    </row>
    <row r="221" spans="1:23" x14ac:dyDescent="0.15">
      <c r="A221" t="s">
        <v>403</v>
      </c>
      <c r="B221">
        <v>13</v>
      </c>
    </row>
    <row r="222" spans="1:23" x14ac:dyDescent="0.15">
      <c r="A222" t="s">
        <v>404</v>
      </c>
      <c r="B222">
        <v>14</v>
      </c>
    </row>
    <row r="223" spans="1:23" x14ac:dyDescent="0.15">
      <c r="A223" t="s">
        <v>405</v>
      </c>
      <c r="B223">
        <v>15</v>
      </c>
    </row>
    <row r="224" spans="1:23" x14ac:dyDescent="0.15">
      <c r="A224" t="s">
        <v>406</v>
      </c>
      <c r="B224">
        <v>16</v>
      </c>
    </row>
    <row r="225" spans="1:2" x14ac:dyDescent="0.15">
      <c r="A225" t="s">
        <v>407</v>
      </c>
      <c r="B225">
        <v>17</v>
      </c>
    </row>
    <row r="226" spans="1:2" x14ac:dyDescent="0.15">
      <c r="A226" t="s">
        <v>408</v>
      </c>
      <c r="B226">
        <v>18</v>
      </c>
    </row>
    <row r="227" spans="1:2" x14ac:dyDescent="0.15">
      <c r="A227" t="s">
        <v>409</v>
      </c>
      <c r="B227">
        <v>19</v>
      </c>
    </row>
    <row r="228" spans="1:2" x14ac:dyDescent="0.15">
      <c r="A228" t="s">
        <v>410</v>
      </c>
      <c r="B228">
        <v>20</v>
      </c>
    </row>
    <row r="229" spans="1:2" x14ac:dyDescent="0.15">
      <c r="A229" t="s">
        <v>411</v>
      </c>
      <c r="B229">
        <v>21</v>
      </c>
    </row>
    <row r="230" spans="1:2" x14ac:dyDescent="0.15">
      <c r="A230" t="s">
        <v>412</v>
      </c>
      <c r="B230">
        <v>22</v>
      </c>
    </row>
    <row r="231" spans="1:2" x14ac:dyDescent="0.15">
      <c r="A231" t="s">
        <v>413</v>
      </c>
      <c r="B231">
        <v>23</v>
      </c>
    </row>
    <row r="232" spans="1:2" x14ac:dyDescent="0.15">
      <c r="A232" t="s">
        <v>414</v>
      </c>
      <c r="B232">
        <v>24</v>
      </c>
    </row>
    <row r="233" spans="1:2" x14ac:dyDescent="0.15">
      <c r="A233" t="s">
        <v>415</v>
      </c>
      <c r="B233">
        <v>25</v>
      </c>
    </row>
    <row r="234" spans="1:2" x14ac:dyDescent="0.15">
      <c r="A234" t="s">
        <v>416</v>
      </c>
      <c r="B234">
        <v>26</v>
      </c>
    </row>
    <row r="235" spans="1:2" x14ac:dyDescent="0.15">
      <c r="A235" t="s">
        <v>417</v>
      </c>
      <c r="B235">
        <v>27</v>
      </c>
    </row>
    <row r="236" spans="1:2" x14ac:dyDescent="0.15">
      <c r="A236" t="s">
        <v>418</v>
      </c>
      <c r="B236">
        <v>28</v>
      </c>
    </row>
    <row r="237" spans="1:2" x14ac:dyDescent="0.15">
      <c r="A237" t="s">
        <v>419</v>
      </c>
      <c r="B237">
        <v>29</v>
      </c>
    </row>
    <row r="238" spans="1:2" x14ac:dyDescent="0.15">
      <c r="A238" t="s">
        <v>420</v>
      </c>
      <c r="B238">
        <v>30</v>
      </c>
    </row>
    <row r="239" spans="1:2" x14ac:dyDescent="0.15">
      <c r="A239" t="s">
        <v>421</v>
      </c>
      <c r="B239">
        <v>31</v>
      </c>
    </row>
    <row r="240" spans="1:2" x14ac:dyDescent="0.15">
      <c r="A240" t="s">
        <v>422</v>
      </c>
      <c r="B240">
        <v>33</v>
      </c>
    </row>
    <row r="241" spans="1:2" x14ac:dyDescent="0.15">
      <c r="A241" t="s">
        <v>423</v>
      </c>
      <c r="B241">
        <v>34</v>
      </c>
    </row>
    <row r="242" spans="1:2" x14ac:dyDescent="0.15">
      <c r="A242" t="s">
        <v>424</v>
      </c>
      <c r="B242">
        <v>35</v>
      </c>
    </row>
    <row r="243" spans="1:2" x14ac:dyDescent="0.15">
      <c r="A243" t="s">
        <v>425</v>
      </c>
      <c r="B243">
        <v>36</v>
      </c>
    </row>
    <row r="244" spans="1:2" x14ac:dyDescent="0.15">
      <c r="A244" t="s">
        <v>426</v>
      </c>
      <c r="B244">
        <v>37</v>
      </c>
    </row>
    <row r="245" spans="1:2" x14ac:dyDescent="0.15">
      <c r="A245" t="s">
        <v>427</v>
      </c>
      <c r="B245">
        <v>38</v>
      </c>
    </row>
    <row r="246" spans="1:2" x14ac:dyDescent="0.15">
      <c r="A246" t="s">
        <v>428</v>
      </c>
      <c r="B246">
        <v>39</v>
      </c>
    </row>
    <row r="247" spans="1:2" x14ac:dyDescent="0.15">
      <c r="A247" t="s">
        <v>429</v>
      </c>
      <c r="B247">
        <v>40</v>
      </c>
    </row>
    <row r="248" spans="1:2" x14ac:dyDescent="0.15">
      <c r="A248" t="s">
        <v>430</v>
      </c>
      <c r="B248">
        <v>41</v>
      </c>
    </row>
    <row r="249" spans="1:2" x14ac:dyDescent="0.15">
      <c r="A249" t="s">
        <v>431</v>
      </c>
      <c r="B249">
        <v>42</v>
      </c>
    </row>
    <row r="250" spans="1:2" x14ac:dyDescent="0.15">
      <c r="A250" t="s">
        <v>432</v>
      </c>
      <c r="B250">
        <v>43</v>
      </c>
    </row>
    <row r="251" spans="1:2" x14ac:dyDescent="0.15">
      <c r="A251" t="s">
        <v>433</v>
      </c>
      <c r="B251">
        <v>44</v>
      </c>
    </row>
    <row r="252" spans="1:2" x14ac:dyDescent="0.15">
      <c r="A252" t="s">
        <v>434</v>
      </c>
      <c r="B252">
        <v>45</v>
      </c>
    </row>
    <row r="253" spans="1:2" x14ac:dyDescent="0.15">
      <c r="A253" t="s">
        <v>435</v>
      </c>
      <c r="B253">
        <v>46</v>
      </c>
    </row>
    <row r="254" spans="1:2" x14ac:dyDescent="0.15">
      <c r="A254" t="s">
        <v>436</v>
      </c>
      <c r="B254">
        <v>47</v>
      </c>
    </row>
    <row r="255" spans="1:2" x14ac:dyDescent="0.15">
      <c r="A255" t="s">
        <v>437</v>
      </c>
      <c r="B255">
        <v>48</v>
      </c>
    </row>
    <row r="256" spans="1:2" x14ac:dyDescent="0.15">
      <c r="A256" t="s">
        <v>438</v>
      </c>
      <c r="B256">
        <v>49</v>
      </c>
    </row>
    <row r="257" spans="1:2" x14ac:dyDescent="0.15">
      <c r="A257" t="s">
        <v>439</v>
      </c>
      <c r="B257">
        <v>50</v>
      </c>
    </row>
    <row r="258" spans="1:2" x14ac:dyDescent="0.15">
      <c r="A258" t="s">
        <v>440</v>
      </c>
      <c r="B258">
        <v>51</v>
      </c>
    </row>
    <row r="259" spans="1:2" x14ac:dyDescent="0.15">
      <c r="A259" t="s">
        <v>441</v>
      </c>
      <c r="B259">
        <v>52</v>
      </c>
    </row>
    <row r="260" spans="1:2" x14ac:dyDescent="0.15">
      <c r="A260" t="s">
        <v>442</v>
      </c>
      <c r="B260">
        <v>53</v>
      </c>
    </row>
    <row r="261" spans="1:2" x14ac:dyDescent="0.15">
      <c r="A261" t="s">
        <v>443</v>
      </c>
      <c r="B261">
        <v>54</v>
      </c>
    </row>
    <row r="262" spans="1:2" x14ac:dyDescent="0.15">
      <c r="A262" t="s">
        <v>444</v>
      </c>
      <c r="B262">
        <v>55</v>
      </c>
    </row>
    <row r="263" spans="1:2" x14ac:dyDescent="0.15">
      <c r="A263" t="s">
        <v>445</v>
      </c>
      <c r="B263">
        <v>57</v>
      </c>
    </row>
    <row r="264" spans="1:2" x14ac:dyDescent="0.15">
      <c r="A264" t="s">
        <v>446</v>
      </c>
      <c r="B264">
        <v>58</v>
      </c>
    </row>
    <row r="265" spans="1:2" x14ac:dyDescent="0.15">
      <c r="A265" t="s">
        <v>447</v>
      </c>
      <c r="B265">
        <v>59</v>
      </c>
    </row>
    <row r="266" spans="1:2" x14ac:dyDescent="0.15">
      <c r="A266" t="s">
        <v>448</v>
      </c>
      <c r="B266">
        <v>60</v>
      </c>
    </row>
    <row r="267" spans="1:2" x14ac:dyDescent="0.15">
      <c r="A267" t="s">
        <v>449</v>
      </c>
      <c r="B267">
        <v>62</v>
      </c>
    </row>
    <row r="268" spans="1:2" x14ac:dyDescent="0.15">
      <c r="A268" t="s">
        <v>450</v>
      </c>
      <c r="B268">
        <v>63</v>
      </c>
    </row>
    <row r="269" spans="1:2" x14ac:dyDescent="0.15">
      <c r="A269" t="s">
        <v>451</v>
      </c>
      <c r="B269">
        <v>64</v>
      </c>
    </row>
    <row r="270" spans="1:2" x14ac:dyDescent="0.15">
      <c r="A270" t="s">
        <v>452</v>
      </c>
      <c r="B270">
        <v>65</v>
      </c>
    </row>
    <row r="271" spans="1:2" x14ac:dyDescent="0.15">
      <c r="A271" t="s">
        <v>453</v>
      </c>
      <c r="B271">
        <v>66</v>
      </c>
    </row>
    <row r="272" spans="1:2" x14ac:dyDescent="0.15">
      <c r="A272" t="s">
        <v>454</v>
      </c>
      <c r="B272">
        <v>68</v>
      </c>
    </row>
    <row r="273" spans="1:24" x14ac:dyDescent="0.15">
      <c r="A273" t="s">
        <v>455</v>
      </c>
      <c r="B273">
        <v>69</v>
      </c>
    </row>
    <row r="274" spans="1:24" x14ac:dyDescent="0.15">
      <c r="A274" t="s">
        <v>456</v>
      </c>
      <c r="B274">
        <v>70</v>
      </c>
    </row>
    <row r="275" spans="1:24" x14ac:dyDescent="0.15">
      <c r="A275" t="s">
        <v>457</v>
      </c>
      <c r="B275">
        <v>71</v>
      </c>
    </row>
    <row r="276" spans="1:24" x14ac:dyDescent="0.15">
      <c r="A276" t="s">
        <v>458</v>
      </c>
      <c r="B276">
        <v>72</v>
      </c>
    </row>
    <row r="277" spans="1:24" x14ac:dyDescent="0.15">
      <c r="A277" t="s">
        <v>459</v>
      </c>
      <c r="B277" t="s">
        <v>460</v>
      </c>
    </row>
    <row r="278" spans="1:24" x14ac:dyDescent="0.15">
      <c r="A278" t="s">
        <v>461</v>
      </c>
      <c r="B278" t="s">
        <v>462</v>
      </c>
    </row>
    <row r="279" spans="1:24" x14ac:dyDescent="0.15">
      <c r="A279" t="s">
        <v>463</v>
      </c>
      <c r="B279" t="s">
        <v>464</v>
      </c>
    </row>
    <row r="280" spans="1:24" x14ac:dyDescent="0.15">
      <c r="A280" t="s">
        <v>465</v>
      </c>
      <c r="B280" t="s">
        <v>466</v>
      </c>
    </row>
    <row r="281" spans="1:24" x14ac:dyDescent="0.15">
      <c r="A281" t="s">
        <v>467</v>
      </c>
      <c r="B281" t="s">
        <v>468</v>
      </c>
    </row>
    <row r="282" spans="1:24" x14ac:dyDescent="0.15">
      <c r="A282" t="s">
        <v>469</v>
      </c>
      <c r="B282" t="s">
        <v>470</v>
      </c>
    </row>
    <row r="283" spans="1:24" x14ac:dyDescent="0.15">
      <c r="A283" t="s">
        <v>471</v>
      </c>
      <c r="B283" t="s">
        <v>472</v>
      </c>
    </row>
    <row r="284" spans="1:24" x14ac:dyDescent="0.15">
      <c r="A284" t="s">
        <v>473</v>
      </c>
      <c r="B284" t="s">
        <v>474</v>
      </c>
    </row>
    <row r="285" spans="1:24" x14ac:dyDescent="0.15">
      <c r="A285" t="s">
        <v>475</v>
      </c>
      <c r="B285" t="s">
        <v>476</v>
      </c>
    </row>
    <row r="286" spans="1:24" x14ac:dyDescent="0.15">
      <c r="A286" t="s">
        <v>477</v>
      </c>
      <c r="B286" t="s">
        <v>34</v>
      </c>
      <c r="C286" t="s">
        <v>32</v>
      </c>
      <c r="D286" t="s">
        <v>19</v>
      </c>
      <c r="E286" t="s">
        <v>21</v>
      </c>
      <c r="F286" t="s">
        <v>39</v>
      </c>
      <c r="G286" t="s">
        <v>30</v>
      </c>
      <c r="H286" t="s">
        <v>44</v>
      </c>
      <c r="I286" t="s">
        <v>16</v>
      </c>
      <c r="J286" t="s">
        <v>40</v>
      </c>
      <c r="K286" t="s">
        <v>46</v>
      </c>
      <c r="L286" t="s">
        <v>42</v>
      </c>
      <c r="M286" t="s">
        <v>22</v>
      </c>
      <c r="N286" t="s">
        <v>48</v>
      </c>
      <c r="O286" t="s">
        <v>41</v>
      </c>
      <c r="P286" t="s">
        <v>47</v>
      </c>
      <c r="Q286" t="s">
        <v>45</v>
      </c>
      <c r="R286" t="s">
        <v>24</v>
      </c>
      <c r="S286" t="s">
        <v>37</v>
      </c>
      <c r="T286" t="s">
        <v>18</v>
      </c>
      <c r="U286" t="s">
        <v>38</v>
      </c>
      <c r="V286" t="s">
        <v>36</v>
      </c>
      <c r="W286" t="s">
        <v>25</v>
      </c>
      <c r="X286" t="s">
        <v>43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51%_TH 0.3 0.3 0.6 0.6</vt:lpstr>
      <vt:lpstr>58%_TH 0.3 0.3 0.9 0.9</vt:lpstr>
      <vt:lpstr>64%_TH 0.8 0.8 0.9 0.9</vt:lpstr>
      <vt:lpstr>66%_TH 0.75 0.75 0.95 0.95</vt:lpstr>
      <vt:lpstr>70%_TH 0.8 0.8 0.99 0.99</vt:lpstr>
      <vt:lpstr>comparison_occGuid</vt:lpstr>
      <vt:lpstr>3366_onlyP</vt:lpstr>
      <vt:lpstr>3366_onlyI</vt:lpstr>
      <vt:lpstr>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N18175</dc:title>
  <dc:creator>Mesks</dc:creator>
  <cp:lastModifiedBy>Mesks</cp:lastModifiedBy>
  <dcterms:created xsi:type="dcterms:W3CDTF">2019-04-23T13:57:55Z</dcterms:created>
  <dcterms:modified xsi:type="dcterms:W3CDTF">2022-10-30T13:45:52Z</dcterms:modified>
</cp:coreProperties>
</file>